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a4b2a43b6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总览" sheetId="1" r:id="R5a848bdcaf9149d0"/>
    <x:sheet xmlns:r="http://schemas.openxmlformats.org/officeDocument/2006/relationships" name="全题频数" sheetId="2" r:id="Raeddfbaa67e946ef"/>
    <x:sheet xmlns:r="http://schemas.openxmlformats.org/officeDocument/2006/relationships" name="量表统计" sheetId="3" r:id="Rc24c0549fba54a31"/>
    <x:sheet xmlns:r="http://schemas.openxmlformats.org/officeDocument/2006/relationships" name="排序题统计" sheetId="4" r:id="R1f907374a6844b51"/>
    <x:sheet xmlns:r="http://schemas.openxmlformats.org/officeDocument/2006/relationships" name="Q11_Q12数值" sheetId="5" r:id="Recd78b4a1cc84d9f"/>
    <x:sheet xmlns:r="http://schemas.openxmlformats.org/officeDocument/2006/relationships" name="供需交叉" sheetId="6" r:id="R2497263b63d34a63"/>
    <x:sheet xmlns:r="http://schemas.openxmlformats.org/officeDocument/2006/relationships" name="分组比较" sheetId="7" r:id="Rba292e9d170448fa"/>
    <x:sheet xmlns:r="http://schemas.openxmlformats.org/officeDocument/2006/relationships" name="能力差距配对" sheetId="8" r:id="Rb68d8e37696d4c7e"/>
    <x:sheet xmlns:r="http://schemas.openxmlformats.org/officeDocument/2006/relationships" name="答卷敏感性" sheetId="9" r:id="Rbbce9fd5ca5f4a1a"/>
    <x:sheet xmlns:r="http://schemas.openxmlformats.org/officeDocument/2006/relationships" name="人数结构敏感性" sheetId="10" r:id="R8e40bcda52a943ea"/>
    <x:sheet xmlns:r="http://schemas.openxmlformats.org/officeDocument/2006/relationships" name="缺失与分母" sheetId="11" r:id="R3c614f82d257475f"/>
    <x:sheet xmlns:r="http://schemas.openxmlformats.org/officeDocument/2006/relationships" name="质量核验" sheetId="12" r:id="R0bdc4043e0494a43"/>
    <x:sheet xmlns:r="http://schemas.openxmlformats.org/officeDocument/2006/relationships" name="结论核验" sheetId="13" r:id="R721c3f5921664b9c"/>
    <x:sheet xmlns:r="http://schemas.openxmlformats.org/officeDocument/2006/relationships" name="方法与题目" sheetId="14" r:id="Rc63e186178904856"/>
    <x:sheet xmlns:r="http://schemas.openxmlformats.org/officeDocument/2006/relationships" name="字段字典" sheetId="15" r:id="R52641b06e631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"/>
    <x:numFmt numFmtId="203" formatCode="0.0000"/>
    <x:numFmt numFmtId="204" formatCode="0.000"/>
    <x:numFmt numFmtId="205" formatCode="0.000E+00"/>
    <x:numFmt numFmtId="206" formatCode="#,##0.##"/>
  </x:numFmts>
  <x:fonts count="5">
    <x:font>
      <x:sz val="11"/>
      <x:name val="Carlito"/>
    </x:font>
    <x:font>
      <x:sz val="10"/>
      <x:color rgb="FF253746"/>
      <x:name val="Arial"/>
    </x:font>
    <x:font>
      <x:b/>
      <x:sz val="16"/>
      <x:color rgb="FF19354A"/>
      <x:name val="Arial"/>
    </x:font>
    <x:font>
      <x:sz val="10"/>
      <x:color rgb="FF60738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5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EDAE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A32929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e313f8e2d46ec" /><Relationship Type="http://schemas.openxmlformats.org/officeDocument/2006/relationships/theme" Target="/xl/theme/theme1.xml" Id="R08fb4f35f46e46af" /><Relationship Type="http://schemas.openxmlformats.org/officeDocument/2006/relationships/sharedStrings" Target="/xl/sharedStrings.xml" Id="R4976591fa3724df8" /><Relationship Type="http://schemas.openxmlformats.org/officeDocument/2006/relationships/worksheet" Target="/xl/worksheets/sheet1.xml" Id="R5a848bdcaf9149d0" /><Relationship Type="http://schemas.openxmlformats.org/officeDocument/2006/relationships/worksheet" Target="/xl/worksheets/sheet2.xml" Id="Raeddfbaa67e946ef" /><Relationship Type="http://schemas.openxmlformats.org/officeDocument/2006/relationships/worksheet" Target="/xl/worksheets/sheet3.xml" Id="Rc24c0549fba54a31" /><Relationship Type="http://schemas.openxmlformats.org/officeDocument/2006/relationships/worksheet" Target="/xl/worksheets/sheet4.xml" Id="R1f907374a6844b51" /><Relationship Type="http://schemas.openxmlformats.org/officeDocument/2006/relationships/worksheet" Target="/xl/worksheets/sheet5.xml" Id="Recd78b4a1cc84d9f" /><Relationship Type="http://schemas.openxmlformats.org/officeDocument/2006/relationships/worksheet" Target="/xl/worksheets/sheet6.xml" Id="R2497263b63d34a63" /><Relationship Type="http://schemas.openxmlformats.org/officeDocument/2006/relationships/worksheet" Target="/xl/worksheets/sheet7.xml" Id="Rba292e9d170448fa" /><Relationship Type="http://schemas.openxmlformats.org/officeDocument/2006/relationships/worksheet" Target="/xl/worksheets/sheet8.xml" Id="Rb68d8e37696d4c7e" /><Relationship Type="http://schemas.openxmlformats.org/officeDocument/2006/relationships/worksheet" Target="/xl/worksheets/sheet9.xml" Id="Rbbce9fd5ca5f4a1a" /><Relationship Type="http://schemas.openxmlformats.org/officeDocument/2006/relationships/worksheet" Target="/xl/worksheets/sheet10.xml" Id="R8e40bcda52a943ea" /><Relationship Type="http://schemas.openxmlformats.org/officeDocument/2006/relationships/worksheet" Target="/xl/worksheets/sheet11.xml" Id="R3c614f82d257475f" /><Relationship Type="http://schemas.openxmlformats.org/officeDocument/2006/relationships/worksheet" Target="/xl/worksheets/sheet12.xml" Id="R0bdc4043e0494a43" /><Relationship Type="http://schemas.openxmlformats.org/officeDocument/2006/relationships/worksheet" Target="/xl/worksheets/sheet13.xml" Id="R721c3f5921664b9c" /><Relationship Type="http://schemas.openxmlformats.org/officeDocument/2006/relationships/worksheet" Target="/xl/worksheets/sheet14.xml" Id="Rc63e186178904856" /><Relationship Type="http://schemas.openxmlformats.org/officeDocument/2006/relationships/worksheet" Target="/xl/worksheets/sheet15.xml" Id="R52641b06e631456e" /></Relationships>
</file>

<file path=xl/tables/table1.xml><?xml version="1.0" encoding="utf-8"?>
<x:table xmlns:x="http://schemas.openxmlformats.org/spreadsheetml/2006/main" id="1" name="Table_overview" displayName="Table_overview" ref="A5:G35" headerRowCount="1" totalsRowCount="0" totalsRowShown="0">
  <x:autoFilter ref="A5:G35"/>
  <x:tableColumns count="7">
    <x:tableColumn id="1" name="指标"/>
    <x:tableColumn id="2" name="人数或答卷数"/>
    <x:tableColumn id="3" name="分母"/>
    <x:tableColumn id="4" name="比例"/>
    <x:tableColumn id="5" name="Wilson 95%下限"/>
    <x:tableColumn id="6" name="Wilson 95%上限"/>
    <x:tableColumn id="7" name="指标定义与解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frequencies" displayName="Table_frequencies" ref="A5:I707" headerRowCount="1" totalsRowCount="0" totalsRowShown="0">
  <x:autoFilter ref="A5:I707"/>
  <x:tableColumns count="9">
    <x:tableColumn id="1" name="题号"/>
    <x:tableColumn id="2" name="题型"/>
    <x:tableColumn id="3" name="项目或选项"/>
    <x:tableColumn id="4" name="类别/状态"/>
    <x:tableColumn id="5" name="人数或答卷数"/>
    <x:tableColumn id="6" name="分母"/>
    <x:tableColumn id="7" name="比例"/>
    <x:tableColumn id="8" name="统计口径"/>
    <x:tableColumn id="9" name="原始数据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likert" displayName="Table_likert" ref="A5:Q64" headerRowCount="1" totalsRowCount="0" totalsRowShown="0">
  <x:autoFilter ref="A5:Q64"/>
  <x:tableColumns count="17">
    <x:tableColumn id="1" name="题号"/>
    <x:tableColumn id="2" name="量表子项"/>
    <x:tableColumn id="3" name="有效数"/>
    <x:tableColumn id="4" name="1分"/>
    <x:tableColumn id="5" name="2分"/>
    <x:tableColumn id="6" name="3分"/>
    <x:tableColumn id="7" name="4分"/>
    <x:tableColumn id="8" name="5分"/>
    <x:tableColumn id="9" name="均值"/>
    <x:tableColumn id="10" name="样本标准差"/>
    <x:tableColumn id="11" name="中位数"/>
    <x:tableColumn id="12" name="4至5分人数"/>
    <x:tableColumn id="13" name="4至5分比例"/>
    <x:tableColumn id="14" name="1至2分人数"/>
    <x:tableColumn id="15" name="1至2分比例"/>
    <x:tableColumn id="16" name="高分率95%下限"/>
    <x:tableColumn id="17" name="高分率95%上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rankings" displayName="Table_rankings" ref="A5:L26" headerRowCount="1" totalsRowCount="0" totalsRowShown="0">
  <x:autoFilter ref="A5:L26"/>
  <x:tableColumns count="12">
    <x:tableColumn id="1" name="题号"/>
    <x:tableColumn id="2" name="选项"/>
    <x:tableColumn id="3" name="第1名"/>
    <x:tableColumn id="4" name="第2名"/>
    <x:tableColumn id="5" name="第3名"/>
    <x:tableColumn id="6" name="前三人数"/>
    <x:tableColumn id="7" name="分母"/>
    <x:tableColumn id="8" name="首选率"/>
    <x:tableColumn id="9" name="前三入选率"/>
    <x:tableColumn id="10" name="3-2-1加权分"/>
    <x:tableColumn id="11" name="首选排名"/>
    <x:tableColumn id="12" name="前三排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headcounts" displayName="Table_headcounts" ref="A5:N26" headerRowCount="1" totalsRowCount="0" totalsRowShown="0">
  <x:autoFilter ref="A5:N26"/>
  <x:tableColumns count="14">
    <x:tableColumn id="1" name="题号"/>
    <x:tableColumn id="2" name="人数项目"/>
    <x:tableColumn id="3" name="有效数"/>
    <x:tableColumn id="4" name="空白数"/>
    <x:tableColumn id="5" name="非空无效数"/>
    <x:tableColumn id="6" name="零值数"/>
    <x:tableColumn id="7" name="填报计数合计"/>
    <x:tableColumn id="8" name="均值"/>
    <x:tableColumn id="9" name="中位数"/>
    <x:tableColumn id="10" name="第1四分位"/>
    <x:tableColumn id="11" name="第3四分位"/>
    <x:tableColumn id="12" name="最小值"/>
    <x:tableColumn id="13" name="最大值"/>
    <x:tableColumn id="14" name="有效填报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intersections" displayName="Table_intersections" ref="A5:F13" headerRowCount="1" totalsRowCount="0" totalsRowShown="0">
  <x:autoFilter ref="A5:F13"/>
  <x:tableColumns count="6">
    <x:tableColumn id="1" name="配对概念"/>
    <x:tableColumn id="2" name="需求或偏好"/>
    <x:tableColumn id="3" name="报告现有供给"/>
    <x:tableColumn id="4" name="人数"/>
    <x:tableColumn id="5" name="分母"/>
    <x:tableColumn id="6" name="全样本比例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subgroups" displayName="Table_subgroups" ref="A5:P38" headerRowCount="1" totalsRowCount="0" totalsRowShown="0">
  <x:autoFilter ref="A5:P38"/>
  <x:tableColumns count="16">
    <x:tableColumn id="1" name="检验家族"/>
    <x:tableColumn id="2" name="结局指标"/>
    <x:tableColumn id="3" name="组1"/>
    <x:tableColumn id="4" name="组0"/>
    <x:tableColumn id="5" name="组1事件"/>
    <x:tableColumn id="6" name="组1分母"/>
    <x:tableColumn id="7" name="组0事件"/>
    <x:tableColumn id="8" name="组0分母"/>
    <x:tableColumn id="9" name="组1比例"/>
    <x:tableColumn id="10" name="组0比例"/>
    <x:tableColumn id="11" name="比例差"/>
    <x:tableColumn id="12" name="差95%下限"/>
    <x:tableColumn id="13" name="差95%上限"/>
    <x:tableColumn id="14" name="Fisher双侧p"/>
    <x:tableColumn id="15" name="BH q"/>
    <x:tableColumn id="16" name="q&lt;0.05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paired" displayName="Table_paired" ref="A5:L15" headerRowCount="1" totalsRowCount="0" totalsRowShown="0">
  <x:autoFilter ref="A5:L15"/>
  <x:tableColumns count="12">
    <x:tableColumn id="1" name="维度1"/>
    <x:tableColumn id="2" name="维度2"/>
    <x:tableColumn id="3" name="配对数"/>
    <x:tableColumn id="4" name="均值差"/>
    <x:tableColumn id="5" name="差95%下限"/>
    <x:tableColumn id="6" name="差95%上限"/>
    <x:tableColumn id="7" name="差&gt;0"/>
    <x:tableColumn id="8" name="差=0"/>
    <x:tableColumn id="9" name="差&lt;0"/>
    <x:tableColumn id="10" name="精确符号置换p"/>
    <x:tableColumn id="11" name="BH q"/>
    <x:tableColumn id="12" name="q&lt;0.0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sensitivity" displayName="Table_sensitivity" ref="A5:G23" headerRowCount="1" totalsRowCount="0" totalsRowShown="0">
  <x:autoFilter ref="A5:G23"/>
  <x:tableColumns count="7">
    <x:tableColumn id="1" name="分析情景"/>
    <x:tableColumn id="2" name="指标"/>
    <x:tableColumn id="3" name="人数"/>
    <x:tableColumn id="4" name="分母"/>
    <x:tableColumn id="5" name="比例"/>
    <x:tableColumn id="6" name="全样本比例"/>
    <x:tableColumn id="7" name="变化（百分点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headcount_sensitivity" displayName="Table_headcount_sensitivity" ref="A5:G47" headerRowCount="1" totalsRowCount="0" totalsRowShown="0">
  <x:autoFilter ref="A5:G47"/>
  <x:tableColumns count="7">
    <x:tableColumn id="1" name="结构"/>
    <x:tableColumn id="2" name="处理情景"/>
    <x:tableColumn id="3" name="结构项目"/>
    <x:tableColumn id="4" name="有效答卷数"/>
    <x:tableColumn id="5" name="项目填报计数"/>
    <x:tableColumn id="6" name="同记录总人数计数"/>
    <x:tableColumn id="7" name="计数比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denominators" displayName="Table_denominators" ref="A5:G52" headerRowCount="1" totalsRowCount="0" totalsRowShown="0">
  <x:autoFilter ref="A5:G52"/>
  <x:tableColumns count="7">
    <x:tableColumn id="1" name="题号"/>
    <x:tableColumn id="2" name="题型"/>
    <x:tableColumn id="3" name="问题主题"/>
    <x:tableColumn id="4" name="有效分析分母"/>
    <x:tableColumn id="5" name="整题空白数"/>
    <x:tableColumn id="6" name="分母解释"/>
    <x:tableColumn id="7" name="主要口径限制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quality" displayName="Table_quality" ref="A5:F43" headerRowCount="1" totalsRowCount="0" totalsRowShown="0">
  <x:autoFilter ref="A5:F43"/>
  <x:tableColumns count="6">
    <x:tableColumn id="1" name="核验类别"/>
    <x:tableColumn id="2" name="核验项目"/>
    <x:tableColumn id="3" name="答卷数或数值"/>
    <x:tableColumn id="4" name="分母"/>
    <x:tableColumn id="5" name="比例"/>
    <x:tableColumn id="6" name="核验解释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claims" displayName="Table_claims" ref="A5:E21" headerRowCount="1" totalsRowCount="0" totalsRowShown="0">
  <x:autoFilter ref="A5:E21"/>
  <x:tableColumns count="5">
    <x:tableColumn id="1" name="核验对象"/>
    <x:tableColumn id="2" name="本次结果"/>
    <x:tableColumn id="3" name="对照值或证据"/>
    <x:tableColumn id="4" name="结论"/>
    <x:tableColumn id="5" name="限定条件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methods" displayName="Table_methods" ref="A5:E64" headerRowCount="1" totalsRowCount="0" totalsRowShown="0">
  <x:autoFilter ref="A5:E64"/>
  <x:tableColumns count="5">
    <x:tableColumn id="1" name="项目"/>
    <x:tableColumn id="2" name="类型"/>
    <x:tableColumn id="3" name="定义或原题"/>
    <x:tableColumn id="4" name="来源位置"/>
    <x:tableColumn id="5" name="口径说明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_dictionary" displayName="Table_dictionary" ref="A5:E206" headerRowCount="1" totalsRowCount="0" totalsRowShown="0">
  <x:autoFilter ref="A5:E206"/>
  <x:tableColumns count="5">
    <x:tableColumn id="1" name="题号"/>
    <x:tableColumn id="2" name="题型"/>
    <x:tableColumn id="3" name="原始字段名"/>
    <x:tableColumn id="4" name="原始单元格范围"/>
    <x:tableColumn id="5" name="公开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a3f09f133444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434e07448743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d486ff48f845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6aa04788bb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d0b8c791b94d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3db97ef6b849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2332fc9248e49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84b2cd2699c4c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e70552fb3445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384919ab84a46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f22aa45080241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ff7939a1eb142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c0d18077c1f4c1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12ffb6c85e249f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5c758b68c42421b" /></Relationships>
</file>

<file path=xl/worksheets/sheet1.xml><?xml version="1.0" encoding="utf-8"?>
<x:worksheet xmlns:x="http://schemas.openxmlformats.org/spreadsheetml/2006/main">
  <x:sheetPr>
    <x:tabColor rgb="FF1935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1" hidden="0" customWidth="1"/>
    <x:col min="3" max="3" width="8.5" hidden="0" customWidth="1"/>
    <x:col min="4" max="4" width="10" hidden="0" customWidth="1"/>
    <x:col min="5" max="5" width="12.5" hidden="0" customWidth="1"/>
    <x:col min="6" max="6" width="12.5" hidden="0" customWidth="1"/>
    <x:col min="7" max="7" width="6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卫生健康经济管理人才培养：统计总览</x:v>
      </x:c>
      <x:c r="B2" s="4"/>
      <x:c r="C2" s="4"/>
      <x:c r="D2" s="4"/>
      <x:c r="E2" s="4"/>
      <x:c r="F2" s="4"/>
      <x:c r="G2" s="4"/>
    </x:row>
    <x:row r="3" ht="24" customHeight="1">
      <x:c r="A3" s="5" t="str">
        <x:v>共 162 份答卷、47题。统计单位为受访者/答卷，未经医院去重；非全国代表性估计。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指标</x:v>
      </x:c>
      <x:c r="B5" s="9" t="str">
        <x:v>人数或答卷数</x:v>
      </x:c>
      <x:c r="C5" s="9" t="str">
        <x:v>分母</x:v>
      </x:c>
      <x:c r="D5" s="9" t="str">
        <x:v>比例</x:v>
      </x:c>
      <x:c r="E5" s="9" t="str">
        <x:v>Wilson 95%下限</x:v>
      </x:c>
      <x:c r="F5" s="9" t="str">
        <x:v>Wilson 95%上限</x:v>
      </x:c>
      <x:c r="G5" s="9" t="str">
        <x:v>指标定义与解释</x:v>
      </x:c>
    </x:row>
    <x:row r="6" ht="30" customHeight="1">
      <x:c r="A6" s="13" t="str">
        <x:v>业务能力高差距</x:v>
      </x:c>
      <x:c r="B6" s="11" t="n">
        <x:f>'量表统计'!L6</x:f>
        <x:v>66</x:v>
      </x:c>
      <x:c r="C6" s="11" t="n">
        <x:v>162</x:v>
      </x:c>
      <x:c r="D6" s="12" t="n">
        <x:f>B6/C6</x:f>
        <x:v>0.4074074074074074</x:v>
      </x:c>
      <x:c r="E6" s="12" t="n">
        <x:v>0.33473993181886974</x:v>
      </x:c>
      <x:c r="F6" s="12" t="n">
        <x:v>0.4843644090779644</x:v>
      </x:c>
      <x:c r="G6" s="13" t="str">
        <x:v>Q22 D1，4至5分</x:v>
      </x:c>
    </x:row>
    <x:row r="7" ht="30" customHeight="1">
      <x:c r="A7" s="13" t="str">
        <x:v>财务能力高差距</x:v>
      </x:c>
      <x:c r="B7" s="11" t="n">
        <x:f>'量表统计'!L7</x:f>
        <x:v>42</x:v>
      </x:c>
      <x:c r="C7" s="11" t="n">
        <x:v>162</x:v>
      </x:c>
      <x:c r="D7" s="12" t="n">
        <x:f>B7/C7</x:f>
        <x:v>0.25925925925925924</x:v>
      </x:c>
      <x:c r="E7" s="12" t="n">
        <x:v>0.19790662497598044</x:v>
      </x:c>
      <x:c r="F7" s="12" t="n">
        <x:v>0.3317646613557884</x:v>
      </x:c>
      <x:c r="G7" s="13" t="str">
        <x:v>Q22 D2，4至5分</x:v>
      </x:c>
    </x:row>
    <x:row r="8" ht="30" customHeight="1">
      <x:c r="A8" s="13" t="str">
        <x:v>管理能力高差距</x:v>
      </x:c>
      <x:c r="B8" s="11" t="n">
        <x:f>'量表统计'!L8</x:f>
        <x:v>45</x:v>
      </x:c>
      <x:c r="C8" s="11" t="n">
        <x:v>162</x:v>
      </x:c>
      <x:c r="D8" s="12" t="n">
        <x:f>B8/C8</x:f>
        <x:v>0.2777777777777778</x:v>
      </x:c>
      <x:c r="E8" s="12" t="n">
        <x:v>0.2145623343719708</x:v>
      </x:c>
      <x:c r="F8" s="12" t="n">
        <x:v>0.3512880837804312</x:v>
      </x:c>
      <x:c r="G8" s="13" t="str">
        <x:v>Q22 D3，4至5分</x:v>
      </x:c>
    </x:row>
    <x:row r="9" ht="30" customHeight="1">
      <x:c r="A9" s="13" t="str">
        <x:v>数据能力高差距</x:v>
      </x:c>
      <x:c r="B9" s="11" t="n">
        <x:f>'量表统计'!L9</x:f>
        <x:v>57</x:v>
      </x:c>
      <x:c r="C9" s="11" t="n">
        <x:v>162</x:v>
      </x:c>
      <x:c r="D9" s="12" t="n">
        <x:f>B9/C9</x:f>
        <x:v>0.35185185185185186</x:v>
      </x:c>
      <x:c r="E9" s="12" t="n">
        <x:v>0.2825218897488158</x:v>
      </x:c>
      <x:c r="F9" s="12" t="n">
        <x:v>0.4280450556861189</x:v>
      </x:c>
      <x:c r="G9" s="13" t="str">
        <x:v>Q22 D4，4至5分</x:v>
      </x:c>
    </x:row>
    <x:row r="10" ht="30" customHeight="1">
      <x:c r="A10" s="13" t="str">
        <x:v>风险能力高差距</x:v>
      </x:c>
      <x:c r="B10" s="11" t="n">
        <x:f>'量表统计'!L10</x:f>
        <x:v>49</x:v>
      </x:c>
      <x:c r="C10" s="11" t="n">
        <x:v>162</x:v>
      </x:c>
      <x:c r="D10" s="12" t="n">
        <x:f>B10/C10</x:f>
        <x:v>0.30246913580246915</x:v>
      </x:c>
      <x:c r="E10" s="12" t="n">
        <x:v>0.23698755370031604</x:v>
      </x:c>
      <x:c r="F10" s="12" t="n">
        <x:v>0.3771017068795968</x:v>
      </x:c>
      <x:c r="G10" s="13" t="str">
        <x:v>Q22 D5，4至5分</x:v>
      </x:c>
    </x:row>
    <x:row r="11" ht="30" customHeight="1">
      <x:c r="A11" s="13" t="str">
        <x:v>数智课程高需求</x:v>
      </x:c>
      <x:c r="B11" s="11" t="n">
        <x:f>'量表统计'!L22</x:f>
        <x:v>156</x:v>
      </x:c>
      <x:c r="C11" s="11" t="n">
        <x:v>162</x:v>
      </x:c>
      <x:c r="D11" s="12" t="n">
        <x:f>B11/C11</x:f>
        <x:v>0.9629629629629629</x:v>
      </x:c>
      <x:c r="E11" s="12" t="n">
        <x:v>0.9215612866577387</x:v>
      </x:c>
      <x:c r="F11" s="12" t="n">
        <x:v>0.9829170088580903</x:v>
      </x:c>
      <x:c r="G11" s="13" t="str">
        <x:v>Q26 F8，4至5分</x:v>
      </x:c>
    </x:row>
    <x:row r="12" ht="30" customHeight="1">
      <x:c r="A12" s="13" t="str">
        <x:v>跟岗进入前三</x:v>
      </x:c>
      <x:c r="B12" s="11" t="n">
        <x:f>'排序题统计'!F13</x:f>
        <x:v>125</x:v>
      </x:c>
      <x:c r="C12" s="11" t="n">
        <x:v>162</x:v>
      </x:c>
      <x:c r="D12" s="12" t="n">
        <x:f>B12/C12</x:f>
        <x:v>0.7716049382716049</x:v>
      </x:c>
      <x:c r="E12" s="12" t="n">
        <x:v>0.7011132342575218</x:v>
      </x:c>
      <x:c r="F12" s="12" t="n">
        <x:v>0.8295140324450979</x:v>
      </x:c>
      <x:c r="G12" s="13" t="str">
        <x:v>Q25 跟岗实训进入前三；不是首选率</x:v>
      </x:c>
    </x:row>
    <x:row r="13" ht="30" customHeight="1">
      <x:c r="A13" s="13" t="str">
        <x:v>无系统评估</x:v>
      </x:c>
      <x:c r="B13" s="11" t="n">
        <x:f>'全题频数'!E436</x:f>
        <x:v>85</x:v>
      </x:c>
      <x:c r="C13" s="11" t="n">
        <x:v>162</x:v>
      </x:c>
      <x:c r="D13" s="12" t="n">
        <x:f>B13/C13</x:f>
        <x:v>0.5246913580246914</x:v>
      </x:c>
      <x:c r="E13" s="12" t="n">
        <x:v>0.4481124121561988</x:v>
      </x:c>
      <x:c r="F13" s="12" t="n">
        <x:v>0.6001264302713121</x:v>
      </x:c>
      <x:c r="G13" s="13" t="str">
        <x:v>Q30 选中“尚无系统评估”</x:v>
      </x:c>
    </x:row>
    <x:row r="14" ht="30" customHeight="1">
      <x:c r="A14" s="13" t="str">
        <x:v>制度落实到位</x:v>
      </x:c>
      <x:c r="B14" s="11" t="n">
        <x:f>'全题频数'!E159</x:f>
        <x:v>32</x:v>
      </x:c>
      <x:c r="C14" s="11" t="n">
        <x:v>162</x:v>
      </x:c>
      <x:c r="D14" s="12" t="n">
        <x:f>B14/C14</x:f>
        <x:v>0.19753086419753085</x:v>
      </x:c>
      <x:c r="E14" s="12" t="n">
        <x:v>0.14353889090331642</x:v>
      </x:c>
      <x:c r="F14" s="12" t="n">
        <x:v>0.2655352893596751</x:v>
      </x:c>
      <x:c r="G14" s="13" t="str">
        <x:v>Q15 选中“有制度且落实到位”</x:v>
      </x:c>
    </x:row>
    <x:row r="15" ht="30" customHeight="1">
      <x:c r="A15" s="13" t="str">
        <x:v>常态化轮岗</x:v>
      </x:c>
      <x:c r="B15" s="11" t="n">
        <x:f>'全题频数'!E633</x:f>
        <x:v>38</x:v>
      </x:c>
      <x:c r="C15" s="11" t="n">
        <x:v>162</x:v>
      </x:c>
      <x:c r="D15" s="12" t="n">
        <x:f>B15/C15</x:f>
        <x:v>0.2345679012345679</x:v>
      </x:c>
      <x:c r="E15" s="12" t="n">
        <x:v>0.17593427704132153</x:v>
      </x:c>
      <x:c r="F15" s="12" t="n">
        <x:v>0.30549816686293635</x:v>
      </x:c>
      <x:c r="G15" s="13" t="str">
        <x:v>Q41 常态化开展</x:v>
      </x:c>
    </x:row>
    <x:row r="16" ht="30" customHeight="1">
      <x:c r="A16" s="13" t="str">
        <x:v>人员配置不足</x:v>
      </x:c>
      <x:c r="B16" s="11" t="n">
        <x:f>'全题频数'!E137+'全题频数'!E138</x:f>
        <x:v>82</x:v>
      </x:c>
      <x:c r="C16" s="11" t="n">
        <x:v>162</x:v>
      </x:c>
      <x:c r="D16" s="12" t="n">
        <x:f>B16/C16</x:f>
        <x:v>0.5061728395061729</x:v>
      </x:c>
      <x:c r="E16" s="12" t="n">
        <x:v>0.4299378186854527</x:v>
      </x:c>
      <x:c r="F16" s="12" t="n">
        <x:v>0.5821218919214252</x:v>
      </x:c>
      <x:c r="G16" s="13" t="str">
        <x:v>Q13 严重不足或相对不足</x:v>
      </x:c>
    </x:row>
    <x:row r="17" ht="30" customHeight="1">
      <x:c r="A17" s="13" t="str">
        <x:v>培训经费前两档</x:v>
      </x:c>
      <x:c r="B17" s="11" t="n">
        <x:f>'全题频数'!E562+'全题频数'!E563</x:f>
        <x:v>110</x:v>
      </x:c>
      <x:c r="C17" s="11" t="n">
        <x:v>162</x:v>
      </x:c>
      <x:c r="D17" s="12" t="n">
        <x:f>B17/C17</x:f>
        <x:v>0.6790123456790124</x:v>
      </x:c>
      <x:c r="E17" s="12" t="n">
        <x:v>0.603691568067858</x:v>
      </x:c>
      <x:c r="F17" s="12" t="n">
        <x:v>0.7460400395315959</x:v>
      </x:c>
      <x:c r="G17" s="13" t="str">
        <x:v>Q36 前两档：1000元以下及1000—3000元；不作严格小于3000元解释</x:v>
      </x:c>
    </x:row>
    <x:row r="18" ht="30" customHeight="1">
      <x:c r="A18" s="13" t="str">
        <x:v>三级医院类别</x:v>
      </x:c>
      <x:c r="B18" s="11" t="n">
        <x:f>'全题频数'!E22+'全题频数'!E23</x:f>
        <x:v>145</x:v>
      </x:c>
      <x:c r="C18" s="11" t="n">
        <x:v>162</x:v>
      </x:c>
      <x:c r="D18" s="12" t="n">
        <x:f>B18/C18</x:f>
        <x:v>0.8950617283950617</x:v>
      </x:c>
      <x:c r="E18" s="12" t="n">
        <x:v>0.8383776426456437</x:v>
      </x:c>
      <x:c r="F18" s="12" t="n">
        <x:v>0.9334438361945305</x:v>
      </x:c>
      <x:c r="G18" s="13" t="str">
        <x:v>Q2 三级综合或三级专科</x:v>
      </x:c>
    </x:row>
    <x:row r="19" ht="30" customHeight="1">
      <x:c r="A19" s="13" t="str">
        <x:v>二级医院类别</x:v>
      </x:c>
      <x:c r="B19" s="11" t="n">
        <x:f>'全题频数'!E24+'全题频数'!E25</x:f>
        <x:v>14</x:v>
      </x:c>
      <x:c r="C19" s="11" t="n">
        <x:v>162</x:v>
      </x:c>
      <x:c r="D19" s="12" t="n">
        <x:f>B19/C19</x:f>
        <x:v>0.08641975308641975</x:v>
      </x:c>
      <x:c r="E19" s="12" t="n">
        <x:v>0.052175490329125204</x:v>
      </x:c>
      <x:c r="F19" s="12" t="n">
        <x:v>0.13982389901006737</x:v>
      </x:c>
      <x:c r="G19" s="13" t="str">
        <x:v>Q2 二级综合或二级专科</x:v>
      </x:c>
    </x:row>
    <x:row r="20" ht="30" customHeight="1">
      <x:c r="A20" s="13" t="str">
        <x:v>管理者 Q4编码1至4</x:v>
      </x:c>
      <x:c r="B20" s="11" t="n">
        <x:f>'全题频数'!E35+'全题频数'!E36+'全题频数'!E37+'全题频数'!E38</x:f>
        <x:v>91</x:v>
      </x:c>
      <x:c r="C20" s="11" t="n">
        <x:v>162</x:v>
      </x:c>
      <x:c r="D20" s="12" t="n">
        <x:f>B20/C20</x:f>
        <x:v>0.5617283950617284</x:v>
      </x:c>
      <x:c r="E20" s="12" t="n">
        <x:v>0.4847694672103846</x:v>
      </x:c>
      <x:c r="F20" s="12" t="n">
        <x:v>0.6358276388583928</x:v>
      </x:c>
      <x:c r="G20" s="13" t="str">
        <x:v>Q4 编码1至4</x:v>
      </x:c>
    </x:row>
    <x:row r="21" ht="30" customHeight="1">
      <x:c r="A21" s="13" t="str">
        <x:v>院领导及总会计师 Q4编码1至2</x:v>
      </x:c>
      <x:c r="B21" s="11" t="n">
        <x:f>'全题频数'!E35+'全题频数'!E36</x:f>
        <x:v>20</x:v>
      </x:c>
      <x:c r="C21" s="11" t="n">
        <x:v>162</x:v>
      </x:c>
      <x:c r="D21" s="12" t="n">
        <x:f>B21/C21</x:f>
        <x:v>0.12345679012345678</x:v>
      </x:c>
      <x:c r="E21" s="12" t="n">
        <x:v>0.08135845105965142</x:v>
      </x:c>
      <x:c r="F21" s="12" t="n">
        <x:v>0.18299920192080746</x:v>
      </x:c>
      <x:c r="G21" s="13" t="str">
        <x:v>Q4 编码1至2</x:v>
      </x:c>
    </x:row>
    <x:row r="22" ht="30" customHeight="1">
      <x:c r="A22" s="13" t="str">
        <x:v>硕士</x:v>
      </x:c>
      <x:c r="B22" s="11" t="n">
        <x:f>'全题频数'!E45</x:f>
        <x:v>88</x:v>
      </x:c>
      <x:c r="C22" s="11" t="n">
        <x:v>162</x:v>
      </x:c>
      <x:c r="D22" s="12" t="n">
        <x:f>B22/C22</x:f>
        <x:v>0.5432098765432098</x:v>
      </x:c>
      <x:c r="E22" s="12" t="n">
        <x:v>0.466389374343993</x:v>
      </x:c>
      <x:c r="F22" s="12" t="n">
        <x:v>0.6180285999041508</x:v>
      </x:c>
      <x:c r="G22" s="13" t="str">
        <x:v>Q6 硕士</x:v>
      </x:c>
    </x:row>
    <x:row r="23" ht="30" customHeight="1">
      <x:c r="A23" s="13" t="str">
        <x:v>本科</x:v>
      </x:c>
      <x:c r="B23" s="11" t="n">
        <x:f>'全题频数'!E46</x:f>
        <x:v>70</x:v>
      </x:c>
      <x:c r="C23" s="11" t="n">
        <x:v>162</x:v>
      </x:c>
      <x:c r="D23" s="12" t="n">
        <x:f>B23/C23</x:f>
        <x:v>0.43209876543209874</x:v>
      </x:c>
      <x:c r="E23" s="12" t="n">
        <x:v>0.3582624599187733</x:v>
      </x:c>
      <x:c r="F23" s="12" t="n">
        <x:v>0.5090807234055718</x:v>
      </x:c>
      <x:c r="G23" s="13" t="str">
        <x:v>Q6 本科</x:v>
      </x:c>
    </x:row>
    <x:row r="24" ht="30" customHeight="1">
      <x:c r="A24" s="13" t="str">
        <x:v>高级职称</x:v>
      </x:c>
      <x:c r="B24" s="11" t="n">
        <x:f>'全题频数'!E54+'全题频数'!E55</x:f>
        <x:v>75</x:v>
      </x:c>
      <x:c r="C24" s="11" t="n">
        <x:v>162</x:v>
      </x:c>
      <x:c r="D24" s="12" t="n">
        <x:f>B24/C24</x:f>
        <x:v>0.46296296296296297</x:v>
      </x:c>
      <x:c r="E24" s="12" t="n">
        <x:v>0.38792737738593824</x:v>
      </x:c>
      <x:c r="F24" s="12" t="n">
        <x:v>0.5397143589727954</x:v>
      </x:c>
      <x:c r="G24" s="13" t="str">
        <x:v>Q8 正高或副高</x:v>
      </x:c>
    </x:row>
    <x:row r="25" ht="30" customHeight="1">
      <x:c r="A25" s="13" t="str">
        <x:v>财务或审计部门</x:v>
      </x:c>
      <x:c r="B25" s="11" t="n">
        <x:f>'全题频数'!E28+'全题频数'!E29</x:f>
        <x:v>109</x:v>
      </x:c>
      <x:c r="C25" s="11" t="n">
        <x:v>162</x:v>
      </x:c>
      <x:c r="D25" s="12" t="n">
        <x:f>B25/C25</x:f>
        <x:v>0.6728395061728395</x:v>
      </x:c>
      <x:c r="E25" s="12" t="n">
        <x:v>0.597317309296105</x:v>
      </x:c>
      <x:c r="F25" s="12" t="n">
        <x:v>0.7403545876964712</x:v>
      </x:c>
      <x:c r="G25" s="13" t="str">
        <x:v>Q3 财务或审计部门</x:v>
      </x:c>
    </x:row>
    <x:row r="26" ht="30" customHeight="1">
      <x:c r="A26" s="13" t="str">
        <x:v>财会审计专业</x:v>
      </x:c>
      <x:c r="B26" s="11" t="n">
        <x:f>'全题频数'!E48</x:f>
        <x:v>142</x:v>
      </x:c>
      <x:c r="C26" s="11" t="n">
        <x:v>162</x:v>
      </x:c>
      <x:c r="D26" s="12" t="n">
        <x:f>B26/C26</x:f>
        <x:v>0.8765432098765432</x:v>
      </x:c>
      <x:c r="E26" s="12" t="n">
        <x:v>0.8170007980791925</x:v>
      </x:c>
      <x:c r="F26" s="12" t="n">
        <x:v>0.9186415489403486</x:v>
      </x:c>
      <x:c r="G26" s="13" t="str">
        <x:v>Q7 财会审计类</x:v>
      </x:c>
    </x:row>
    <x:row r="27" ht="30" customHeight="1">
      <x:c r="A27" s="13" t="str">
        <x:v>现有数据工具培训</x:v>
      </x:c>
      <x:c r="B27" s="11" t="n">
        <x:f>'全题频数'!E175</x:f>
        <x:v>49</x:v>
      </x:c>
      <x:c r="C27" s="11" t="n">
        <x:v>162</x:v>
      </x:c>
      <x:c r="D27" s="12" t="n">
        <x:f>B27/C27</x:f>
        <x:v>0.30246913580246915</x:v>
      </x:c>
      <x:c r="E27" s="12" t="n">
        <x:v>0.23698755370031604</x:v>
      </x:c>
      <x:c r="F27" s="12" t="n">
        <x:v>0.3771017068795968</x:v>
      </x:c>
      <x:c r="G27" s="13" t="str">
        <x:v>Q17 信息化与数据工具</x:v>
      </x:c>
    </x:row>
    <x:row r="28" ht="30" customHeight="1">
      <x:c r="A28" s="13" t="str">
        <x:v>缺乏培训后跟踪</x:v>
      </x:c>
      <x:c r="B28" s="11" t="n">
        <x:f>'全题频数'!E199</x:f>
        <x:v>108</x:v>
      </x:c>
      <x:c r="C28" s="11" t="n">
        <x:v>162</x:v>
      </x:c>
      <x:c r="D28" s="12" t="n">
        <x:f>B28/C28</x:f>
        <x:v>0.6666666666666666</x:v>
      </x:c>
      <x:c r="E28" s="12" t="n">
        <x:v>0.5909566998344502</x:v>
      </x:c>
      <x:c r="F28" s="12" t="n">
        <x:v>0.7346554865512482</x:v>
      </x:c>
      <x:c r="G28" s="13" t="str">
        <x:v>Q19 短期集中为主、缺乏跟踪管理</x:v>
      </x:c>
    </x:row>
    <x:row r="29" ht="30" customHeight="1">
      <x:c r="A29" s="13" t="str">
        <x:v>分层分类不足</x:v>
      </x:c>
      <x:c r="B29" s="11" t="n">
        <x:f>'全题频数'!E203</x:f>
        <x:v>82</x:v>
      </x:c>
      <x:c r="C29" s="11" t="n">
        <x:v>162</x:v>
      </x:c>
      <x:c r="D29" s="12" t="n">
        <x:f>B29/C29</x:f>
        <x:v>0.5061728395061729</x:v>
      </x:c>
      <x:c r="E29" s="12" t="n">
        <x:v>0.4299378186854527</x:v>
      </x:c>
      <x:c r="F29" s="12" t="n">
        <x:v>0.5821218919214252</x:v>
      </x:c>
      <x:c r="G29" s="13" t="str">
        <x:v>Q19 分层分类不够、针对性不强</x:v>
      </x:c>
    </x:row>
    <x:row r="30" ht="30" customHeight="1">
      <x:c r="A30" s="13" t="str">
        <x:v>实践项目机会不足</x:v>
      </x:c>
      <x:c r="B30" s="11" t="n">
        <x:f>'全题频数'!E693</x:f>
        <x:v>126</x:v>
      </x:c>
      <x:c r="C30" s="11" t="n">
        <x:v>162</x:v>
      </x:c>
      <x:c r="D30" s="12" t="n">
        <x:f>B30/C30</x:f>
        <x:v>0.7777777777777778</x:v>
      </x:c>
      <x:c r="E30" s="12" t="n">
        <x:v>0.7077435063192943</x:v>
      </x:c>
      <x:c r="F30" s="12" t="n">
        <x:v>0.8349434709902033</x:v>
      </x:c>
      <x:c r="G30" s="13" t="str">
        <x:v>Q46 实践锻炼与项目历练机会不足</x:v>
      </x:c>
    </x:row>
    <x:row r="31" ht="30" customHeight="1">
      <x:c r="A31" s="13" t="str">
        <x:v>激励结果运用障碍</x:v>
      </x:c>
      <x:c r="B31" s="11" t="n">
        <x:f>'全题频数'!E695</x:f>
        <x:v>96</x:v>
      </x:c>
      <x:c r="C31" s="11" t="n">
        <x:v>162</x:v>
      </x:c>
      <x:c r="D31" s="12" t="n">
        <x:f>B31/C31</x:f>
        <x:v>0.5925925925925926</x:v>
      </x:c>
      <x:c r="E31" s="12" t="n">
        <x:v>0.5156355909220356</x:v>
      </x:c>
      <x:c r="F31" s="12" t="n">
        <x:v>0.6652600681811303</x:v>
      </x:c>
      <x:c r="G31" s="13" t="str">
        <x:v>Q46 考核激励与结果运用机制不完善</x:v>
      </x:c>
    </x:row>
    <x:row r="32" ht="30" customHeight="1">
      <x:c r="A32" s="13" t="str">
        <x:v>已有跟岗轮岗培训</x:v>
      </x:c>
      <x:c r="B32" s="11" t="n">
        <x:f>'全题频数'!E189</x:f>
        <x:v>70</x:v>
      </x:c>
      <x:c r="C32" s="11" t="n">
        <x:v>162</x:v>
      </x:c>
      <x:c r="D32" s="12" t="n">
        <x:f>B32/C32</x:f>
        <x:v>0.43209876543209874</x:v>
      </x:c>
      <x:c r="E32" s="12" t="n">
        <x:v>0.3582624599187733</x:v>
      </x:c>
      <x:c r="F32" s="12" t="n">
        <x:v>0.5090807234055718</x:v>
      </x:c>
      <x:c r="G32" s="13" t="str">
        <x:v>Q18 跟岗学习/轮岗</x:v>
      </x:c>
    </x:row>
    <x:row r="33" ht="30" customHeight="1">
      <x:c r="A33" s="13" t="str">
        <x:v>高数智需求且未报告现有数据工具培训</x:v>
      </x:c>
      <x:c r="B33" s="11" t="n">
        <x:f>'供需交叉'!D7</x:f>
        <x:v>109</x:v>
      </x:c>
      <x:c r="C33" s="11" t="n">
        <x:v>162</x:v>
      </x:c>
      <x:c r="D33" s="12" t="n">
        <x:f>B33/C33</x:f>
        <x:v>0.6728395061728395</x:v>
      </x:c>
      <x:c r="E33" s="12" t="n">
        <x:v>0.597317309296105</x:v>
      </x:c>
      <x:c r="F33" s="12" t="n">
        <x:v>0.7403545876964712</x:v>
      </x:c>
      <x:c r="G33" s="13" t="str">
        <x:v>Q26 F8高需求且Q17 E未选中；近似概念匹配</x:v>
      </x:c>
    </x:row>
    <x:row r="34" ht="30" customHeight="1">
      <x:c r="A34" s="13" t="str">
        <x:v>高数智需求群体中的未报告现有数据工具培训</x:v>
      </x:c>
      <x:c r="B34" s="11" t="n">
        <x:f>'供需交叉'!D7</x:f>
        <x:v>109</x:v>
      </x:c>
      <x:c r="C34" s="11" t="n">
        <x:v>156</x:v>
      </x:c>
      <x:c r="D34" s="12" t="n">
        <x:f>B34/C34</x:f>
        <x:v>0.6987179487179487</x:v>
      </x:c>
      <x:c r="E34" s="12" t="n">
        <x:v>0.6226539651399258</x:v>
      </x:c>
      <x:c r="F34" s="12" t="n">
        <x:v>0.7652303826221271</x:v>
      </x:c>
      <x:c r="G34" s="13" t="str">
        <x:v>分母改为156名高需求者，不能与全样本比例混用</x:v>
      </x:c>
    </x:row>
    <x:row r="35" ht="30" customHeight="1">
      <x:c r="A35" s="13" t="str">
        <x:v>偏好跟岗且未报告已有跟岗轮岗方式</x:v>
      </x:c>
      <x:c r="B35" s="11" t="n">
        <x:f>'供需交叉'!D11</x:f>
        <x:v>72</x:v>
      </x:c>
      <x:c r="C35" s="11" t="n">
        <x:v>162</x:v>
      </x:c>
      <x:c r="D35" s="12" t="n">
        <x:f>B35/C35</x:f>
        <x:v>0.4444444444444444</x:v>
      </x:c>
      <x:c r="E35" s="12" t="n">
        <x:v>0.3700938504847663</x:v>
      </x:c>
      <x:c r="F35" s="12" t="n">
        <x:v>0.5213687540533342</x:v>
      </x:c>
      <x:c r="G35" s="13" t="str">
        <x:v>Q25 B进入前三且Q18 D未选中；近似概念匹配</x:v>
      </x:c>
    </x:row>
  </x:sheetData>
  <x:pageMargins left="0.7" right="0.7" top="0.75" bottom="0.75" header="0.3" footer="0.3"/>
  <x:tableParts count="1">
    <x:tablePart xmlns:r="http://schemas.openxmlformats.org/officeDocument/2006/relationships" r:id="Rb8a3f09f1334444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10" hidden="0" customWidth="1"/>
    <x:col min="3" max="3" width="40" hidden="0" customWidth="1"/>
    <x:col min="4" max="4" width="13" hidden="0" customWidth="1"/>
    <x:col min="5" max="5" width="10.5" hidden="0" customWidth="1"/>
    <x:col min="6" max="6" width="8" hidden="0" customWidth="1"/>
    <x:col min="7" max="7" width="10" hidden="0" customWidth="1"/>
    <x:col min="8" max="8" width="35" hidden="0" customWidth="1"/>
    <x:col min="9" max="9" width="23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4" t="str">
        <x:v>47题完整分布与回答状态</x:v>
      </x:c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5" t="str">
        <x:v>五级量表列出1至5分；排序列出第1至3名及未入前三；Q11/Q12列出填写状态。</x:v>
      </x:c>
      <x:c r="B3" s="5"/>
      <x:c r="C3" s="5"/>
      <x:c r="D3" s="5"/>
      <x:c r="E3" s="5"/>
      <x:c r="F3" s="5"/>
      <x:c r="G3" s="5"/>
      <x:c r="H3" s="5"/>
      <x:c r="I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9" t="str">
        <x:v>题号</x:v>
      </x:c>
      <x:c r="B5" s="9" t="str">
        <x:v>题型</x:v>
      </x:c>
      <x:c r="C5" s="9" t="str">
        <x:v>项目或选项</x:v>
      </x:c>
      <x:c r="D5" s="9" t="str">
        <x:v>类别/状态</x:v>
      </x:c>
      <x:c r="E5" s="9" t="str">
        <x:v>人数或答卷数</x:v>
      </x:c>
      <x:c r="F5" s="9" t="str">
        <x:v>分母</x:v>
      </x:c>
      <x:c r="G5" s="9" t="str">
        <x:v>比例</x:v>
      </x:c>
      <x:c r="H5" s="9" t="str">
        <x:v>统计口径</x:v>
      </x:c>
      <x:c r="I5" s="9" t="str">
        <x:v>原始数据位置</x:v>
      </x:c>
    </x:row>
    <x:row r="6" ht="30" customHeight="1">
      <x:c r="A6" s="2" t="str">
        <x:v>Q1</x:v>
      </x:c>
      <x:c r="B6" s="2" t="str">
        <x:v>地域</x:v>
      </x:c>
      <x:c r="C6" s="13" t="str">
        <x:v>江苏</x:v>
      </x:c>
      <x:c r="D6" s="2" t="str">
        <x:v>省级汇总</x:v>
      </x:c>
      <x:c r="E6" s="11" t="n">
        <x:v>38</x:v>
      </x:c>
      <x:c r="F6" s="11" t="n">
        <x:v>162</x:v>
      </x:c>
      <x:c r="G6" s="12" t="n">
        <x:f>IF(F6=0,"n.a.",E6/F6)</x:f>
        <x:v>0.2345679012345679</x:v>
      </x:c>
      <x:c r="H6" s="13" t="str">
        <x:v>选项人数/该题有效答卷数</x:v>
      </x:c>
      <x:c r="I6" s="2" t="str">
        <x:v>数值版 Sheet1!G2:H163</x:v>
      </x:c>
    </x:row>
    <x:row r="7" ht="30" customHeight="1">
      <x:c r="A7" s="2" t="str">
        <x:v>Q1</x:v>
      </x:c>
      <x:c r="B7" s="2" t="str">
        <x:v>地域</x:v>
      </x:c>
      <x:c r="C7" s="13" t="str">
        <x:v>河南</x:v>
      </x:c>
      <x:c r="D7" s="2" t="str">
        <x:v>省级汇总</x:v>
      </x:c>
      <x:c r="E7" s="11" t="n">
        <x:v>33</x:v>
      </x:c>
      <x:c r="F7" s="11" t="n">
        <x:v>162</x:v>
      </x:c>
      <x:c r="G7" s="12" t="n">
        <x:f>IF(F7=0,"n.a.",E7/F7)</x:f>
        <x:v>0.2037037037037037</x:v>
      </x:c>
      <x:c r="H7" s="13" t="str">
        <x:v>选项人数/该题有效答卷数</x:v>
      </x:c>
      <x:c r="I7" s="2" t="str">
        <x:v>数值版 Sheet1!G2:H163</x:v>
      </x:c>
    </x:row>
    <x:row r="8" ht="30" customHeight="1">
      <x:c r="A8" s="2" t="str">
        <x:v>Q1</x:v>
      </x:c>
      <x:c r="B8" s="2" t="str">
        <x:v>地域</x:v>
      </x:c>
      <x:c r="C8" s="13" t="str">
        <x:v>上海</x:v>
      </x:c>
      <x:c r="D8" s="2" t="str">
        <x:v>省级汇总</x:v>
      </x:c>
      <x:c r="E8" s="11" t="n">
        <x:v>20</x:v>
      </x:c>
      <x:c r="F8" s="11" t="n">
        <x:v>162</x:v>
      </x:c>
      <x:c r="G8" s="12" t="n">
        <x:f>IF(F8=0,"n.a.",E8/F8)</x:f>
        <x:v>0.12345679012345678</x:v>
      </x:c>
      <x:c r="H8" s="13" t="str">
        <x:v>选项人数/该题有效答卷数</x:v>
      </x:c>
      <x:c r="I8" s="2" t="str">
        <x:v>数值版 Sheet1!G2:H163</x:v>
      </x:c>
    </x:row>
    <x:row r="9" ht="30" customHeight="1">
      <x:c r="A9" s="2" t="str">
        <x:v>Q1</x:v>
      </x:c>
      <x:c r="B9" s="2" t="str">
        <x:v>地域</x:v>
      </x:c>
      <x:c r="C9" s="13" t="str">
        <x:v>广西</x:v>
      </x:c>
      <x:c r="D9" s="2" t="str">
        <x:v>省级汇总</x:v>
      </x:c>
      <x:c r="E9" s="11" t="n">
        <x:v>17</x:v>
      </x:c>
      <x:c r="F9" s="11" t="n">
        <x:v>162</x:v>
      </x:c>
      <x:c r="G9" s="12" t="n">
        <x:f>IF(F9=0,"n.a.",E9/F9)</x:f>
        <x:v>0.10493827160493827</x:v>
      </x:c>
      <x:c r="H9" s="13" t="str">
        <x:v>选项人数/该题有效答卷数</x:v>
      </x:c>
      <x:c r="I9" s="2" t="str">
        <x:v>数值版 Sheet1!G2:H163</x:v>
      </x:c>
    </x:row>
    <x:row r="10" ht="30" customHeight="1">
      <x:c r="A10" s="2" t="str">
        <x:v>Q1</x:v>
      </x:c>
      <x:c r="B10" s="2" t="str">
        <x:v>地域</x:v>
      </x:c>
      <x:c r="C10" s="13" t="str">
        <x:v>浙江</x:v>
      </x:c>
      <x:c r="D10" s="2" t="str">
        <x:v>省级汇总</x:v>
      </x:c>
      <x:c r="E10" s="11" t="n">
        <x:v>14</x:v>
      </x:c>
      <x:c r="F10" s="11" t="n">
        <x:v>162</x:v>
      </x:c>
      <x:c r="G10" s="12" t="n">
        <x:f>IF(F10=0,"n.a.",E10/F10)</x:f>
        <x:v>0.08641975308641975</x:v>
      </x:c>
      <x:c r="H10" s="13" t="str">
        <x:v>选项人数/该题有效答卷数</x:v>
      </x:c>
      <x:c r="I10" s="2" t="str">
        <x:v>数值版 Sheet1!G2:H163</x:v>
      </x:c>
    </x:row>
    <x:row r="11" ht="30" customHeight="1">
      <x:c r="A11" s="2" t="str">
        <x:v>Q1</x:v>
      </x:c>
      <x:c r="B11" s="2" t="str">
        <x:v>地域</x:v>
      </x:c>
      <x:c r="C11" s="13" t="str">
        <x:v>北京</x:v>
      </x:c>
      <x:c r="D11" s="2" t="str">
        <x:v>省级汇总</x:v>
      </x:c>
      <x:c r="E11" s="11" t="n">
        <x:v>8</x:v>
      </x:c>
      <x:c r="F11" s="11" t="n">
        <x:v>162</x:v>
      </x:c>
      <x:c r="G11" s="12" t="n">
        <x:f>IF(F11=0,"n.a.",E11/F11)</x:f>
        <x:v>0.04938271604938271</x:v>
      </x:c>
      <x:c r="H11" s="13" t="str">
        <x:v>选项人数/该题有效答卷数</x:v>
      </x:c>
      <x:c r="I11" s="2" t="str">
        <x:v>数值版 Sheet1!G2:H163</x:v>
      </x:c>
    </x:row>
    <x:row r="12" ht="30" customHeight="1">
      <x:c r="A12" s="2" t="str">
        <x:v>Q1</x:v>
      </x:c>
      <x:c r="B12" s="2" t="str">
        <x:v>地域</x:v>
      </x:c>
      <x:c r="C12" s="13" t="str">
        <x:v>湖北</x:v>
      </x:c>
      <x:c r="D12" s="2" t="str">
        <x:v>省级汇总</x:v>
      </x:c>
      <x:c r="E12" s="11" t="n">
        <x:v>5</x:v>
      </x:c>
      <x:c r="F12" s="11" t="n">
        <x:v>162</x:v>
      </x:c>
      <x:c r="G12" s="12" t="n">
        <x:f>IF(F12=0,"n.a.",E12/F12)</x:f>
        <x:v>0.030864197530864196</x:v>
      </x:c>
      <x:c r="H12" s="13" t="str">
        <x:v>选项人数/该题有效答卷数</x:v>
      </x:c>
      <x:c r="I12" s="2" t="str">
        <x:v>数值版 Sheet1!G2:H163</x:v>
      </x:c>
    </x:row>
    <x:row r="13" ht="30" customHeight="1">
      <x:c r="A13" s="2" t="str">
        <x:v>Q1</x:v>
      </x:c>
      <x:c r="B13" s="2" t="str">
        <x:v>地域</x:v>
      </x:c>
      <x:c r="C13" s="13" t="str">
        <x:v>吉林</x:v>
      </x:c>
      <x:c r="D13" s="2" t="str">
        <x:v>省级汇总</x:v>
      </x:c>
      <x:c r="E13" s="11" t="n">
        <x:v>5</x:v>
      </x:c>
      <x:c r="F13" s="11" t="n">
        <x:v>162</x:v>
      </x:c>
      <x:c r="G13" s="12" t="n">
        <x:f>IF(F13=0,"n.a.",E13/F13)</x:f>
        <x:v>0.030864197530864196</x:v>
      </x:c>
      <x:c r="H13" s="13" t="str">
        <x:v>选项人数/该题有效答卷数</x:v>
      </x:c>
      <x:c r="I13" s="2" t="str">
        <x:v>数值版 Sheet1!G2:H163</x:v>
      </x:c>
    </x:row>
    <x:row r="14" ht="30" customHeight="1">
      <x:c r="A14" s="2" t="str">
        <x:v>Q1</x:v>
      </x:c>
      <x:c r="B14" s="2" t="str">
        <x:v>地域</x:v>
      </x:c>
      <x:c r="C14" s="13" t="str">
        <x:v>湖南</x:v>
      </x:c>
      <x:c r="D14" s="2" t="str">
        <x:v>省级汇总</x:v>
      </x:c>
      <x:c r="E14" s="11" t="n">
        <x:v>4</x:v>
      </x:c>
      <x:c r="F14" s="11" t="n">
        <x:v>162</x:v>
      </x:c>
      <x:c r="G14" s="12" t="n">
        <x:f>IF(F14=0,"n.a.",E14/F14)</x:f>
        <x:v>0.024691358024691357</x:v>
      </x:c>
      <x:c r="H14" s="13" t="str">
        <x:v>选项人数/该题有效答卷数</x:v>
      </x:c>
      <x:c r="I14" s="2" t="str">
        <x:v>数值版 Sheet1!G2:H163</x:v>
      </x:c>
    </x:row>
    <x:row r="15" ht="30" customHeight="1">
      <x:c r="A15" s="2" t="str">
        <x:v>Q1</x:v>
      </x:c>
      <x:c r="B15" s="2" t="str">
        <x:v>地域</x:v>
      </x:c>
      <x:c r="C15" s="13" t="str">
        <x:v>四川</x:v>
      </x:c>
      <x:c r="D15" s="2" t="str">
        <x:v>省级汇总</x:v>
      </x:c>
      <x:c r="E15" s="11" t="n">
        <x:v>4</x:v>
      </x:c>
      <x:c r="F15" s="11" t="n">
        <x:v>162</x:v>
      </x:c>
      <x:c r="G15" s="12" t="n">
        <x:f>IF(F15=0,"n.a.",E15/F15)</x:f>
        <x:v>0.024691358024691357</x:v>
      </x:c>
      <x:c r="H15" s="13" t="str">
        <x:v>选项人数/该题有效答卷数</x:v>
      </x:c>
      <x:c r="I15" s="2" t="str">
        <x:v>数值版 Sheet1!G2:H163</x:v>
      </x:c>
    </x:row>
    <x:row r="16" ht="30" customHeight="1">
      <x:c r="A16" s="2" t="str">
        <x:v>Q1</x:v>
      </x:c>
      <x:c r="B16" s="2" t="str">
        <x:v>地域</x:v>
      </x:c>
      <x:c r="C16" s="13" t="str">
        <x:v>广东</x:v>
      </x:c>
      <x:c r="D16" s="2" t="str">
        <x:v>省级汇总</x:v>
      </x:c>
      <x:c r="E16" s="11" t="n">
        <x:v>4</x:v>
      </x:c>
      <x:c r="F16" s="11" t="n">
        <x:v>162</x:v>
      </x:c>
      <x:c r="G16" s="12" t="n">
        <x:f>IF(F16=0,"n.a.",E16/F16)</x:f>
        <x:v>0.024691358024691357</x:v>
      </x:c>
      <x:c r="H16" s="13" t="str">
        <x:v>选项人数/该题有效答卷数</x:v>
      </x:c>
      <x:c r="I16" s="2" t="str">
        <x:v>数值版 Sheet1!G2:H163</x:v>
      </x:c>
    </x:row>
    <x:row r="17" ht="30" customHeight="1">
      <x:c r="A17" s="2" t="str">
        <x:v>Q1</x:v>
      </x:c>
      <x:c r="B17" s="2" t="str">
        <x:v>地域</x:v>
      </x:c>
      <x:c r="C17" s="13" t="str">
        <x:v>山东</x:v>
      </x:c>
      <x:c r="D17" s="2" t="str">
        <x:v>省级汇总</x:v>
      </x:c>
      <x:c r="E17" s="11" t="n">
        <x:v>3</x:v>
      </x:c>
      <x:c r="F17" s="11" t="n">
        <x:v>162</x:v>
      </x:c>
      <x:c r="G17" s="12" t="n">
        <x:f>IF(F17=0,"n.a.",E17/F17)</x:f>
        <x:v>0.018518518518518517</x:v>
      </x:c>
      <x:c r="H17" s="13" t="str">
        <x:v>选项人数/该题有效答卷数</x:v>
      </x:c>
      <x:c r="I17" s="2" t="str">
        <x:v>数值版 Sheet1!G2:H163</x:v>
      </x:c>
    </x:row>
    <x:row r="18" ht="30" customHeight="1">
      <x:c r="A18" s="2" t="str">
        <x:v>Q1</x:v>
      </x:c>
      <x:c r="B18" s="2" t="str">
        <x:v>地域</x:v>
      </x:c>
      <x:c r="C18" s="13" t="str">
        <x:v>天津</x:v>
      </x:c>
      <x:c r="D18" s="2" t="str">
        <x:v>省级汇总</x:v>
      </x:c>
      <x:c r="E18" s="11" t="n">
        <x:v>2</x:v>
      </x:c>
      <x:c r="F18" s="11" t="n">
        <x:v>162</x:v>
      </x:c>
      <x:c r="G18" s="12" t="n">
        <x:f>IF(F18=0,"n.a.",E18/F18)</x:f>
        <x:v>0.012345679012345678</x:v>
      </x:c>
      <x:c r="H18" s="13" t="str">
        <x:v>选项人数/该题有效答卷数</x:v>
      </x:c>
      <x:c r="I18" s="2" t="str">
        <x:v>数值版 Sheet1!G2:H163</x:v>
      </x:c>
    </x:row>
    <x:row r="19" ht="30" customHeight="1">
      <x:c r="A19" s="2" t="str">
        <x:v>Q1</x:v>
      </x:c>
      <x:c r="B19" s="2" t="str">
        <x:v>地域</x:v>
      </x:c>
      <x:c r="C19" s="13" t="str">
        <x:v>陕西</x:v>
      </x:c>
      <x:c r="D19" s="2" t="str">
        <x:v>省级汇总</x:v>
      </x:c>
      <x:c r="E19" s="11" t="n">
        <x:v>2</x:v>
      </x:c>
      <x:c r="F19" s="11" t="n">
        <x:v>162</x:v>
      </x:c>
      <x:c r="G19" s="12" t="n">
        <x:f>IF(F19=0,"n.a.",E19/F19)</x:f>
        <x:v>0.012345679012345678</x:v>
      </x:c>
      <x:c r="H19" s="13" t="str">
        <x:v>选项人数/该题有效答卷数</x:v>
      </x:c>
      <x:c r="I19" s="2" t="str">
        <x:v>数值版 Sheet1!G2:H163</x:v>
      </x:c>
    </x:row>
    <x:row r="20" ht="30" customHeight="1">
      <x:c r="A20" s="2" t="str">
        <x:v>Q1</x:v>
      </x:c>
      <x:c r="B20" s="2" t="str">
        <x:v>地域</x:v>
      </x:c>
      <x:c r="C20" s="13" t="str">
        <x:v>云南</x:v>
      </x:c>
      <x:c r="D20" s="2" t="str">
        <x:v>省级汇总</x:v>
      </x:c>
      <x:c r="E20" s="11" t="n">
        <x:v>2</x:v>
      </x:c>
      <x:c r="F20" s="11" t="n">
        <x:v>162</x:v>
      </x:c>
      <x:c r="G20" s="12" t="n">
        <x:f>IF(F20=0,"n.a.",E20/F20)</x:f>
        <x:v>0.012345679012345678</x:v>
      </x:c>
      <x:c r="H20" s="13" t="str">
        <x:v>选项人数/该题有效答卷数</x:v>
      </x:c>
      <x:c r="I20" s="2" t="str">
        <x:v>数值版 Sheet1!G2:H163</x:v>
      </x:c>
    </x:row>
    <x:row r="21" ht="30" customHeight="1">
      <x:c r="A21" s="2" t="str">
        <x:v>Q1</x:v>
      </x:c>
      <x:c r="B21" s="2" t="str">
        <x:v>地域</x:v>
      </x:c>
      <x:c r="C21" s="13" t="str">
        <x:v>河北</x:v>
      </x:c>
      <x:c r="D21" s="2" t="str">
        <x:v>省级汇总</x:v>
      </x:c>
      <x:c r="E21" s="11" t="n">
        <x:v>1</x:v>
      </x:c>
      <x:c r="F21" s="11" t="n">
        <x:v>162</x:v>
      </x:c>
      <x:c r="G21" s="12" t="n">
        <x:f>IF(F21=0,"n.a.",E21/F21)</x:f>
        <x:v>0.006172839506172839</x:v>
      </x:c>
      <x:c r="H21" s="13" t="str">
        <x:v>选项人数/该题有效答卷数</x:v>
      </x:c>
      <x:c r="I21" s="2" t="str">
        <x:v>数值版 Sheet1!G2:H163</x:v>
      </x:c>
    </x:row>
    <x:row r="22" ht="30" customHeight="1">
      <x:c r="A22" s="2" t="str">
        <x:v>Q2</x:v>
      </x:c>
      <x:c r="B22" s="2" t="str">
        <x:v>单选</x:v>
      </x:c>
      <x:c r="C22" s="13" t="str">
        <x:v>三级综合医院</x:v>
      </x:c>
      <x:c r="D22" s="2" t="str">
        <x:v>1</x:v>
      </x:c>
      <x:c r="E22" s="11" t="n">
        <x:v>106</x:v>
      </x:c>
      <x:c r="F22" s="11" t="n">
        <x:v>162</x:v>
      </x:c>
      <x:c r="G22" s="12" t="n">
        <x:f>IF(F22=0,"n.a.",E22/F22)</x:f>
        <x:v>0.654320987654321</x:v>
      </x:c>
      <x:c r="H22" s="13" t="str">
        <x:v>选项人数/该题有效答卷数</x:v>
      </x:c>
      <x:c r="I22" s="2" t="str">
        <x:v>数值版 Sheet1!I2:I163</x:v>
      </x:c>
    </x:row>
    <x:row r="23" ht="30" customHeight="1">
      <x:c r="A23" s="2" t="str">
        <x:v>Q2</x:v>
      </x:c>
      <x:c r="B23" s="2" t="str">
        <x:v>单选</x:v>
      </x:c>
      <x:c r="C23" s="13" t="str">
        <x:v>三级专科医院</x:v>
      </x:c>
      <x:c r="D23" s="2" t="str">
        <x:v>2</x:v>
      </x:c>
      <x:c r="E23" s="11" t="n">
        <x:v>39</x:v>
      </x:c>
      <x:c r="F23" s="11" t="n">
        <x:v>162</x:v>
      </x:c>
      <x:c r="G23" s="12" t="n">
        <x:f>IF(F23=0,"n.a.",E23/F23)</x:f>
        <x:v>0.24074074074074073</x:v>
      </x:c>
      <x:c r="H23" s="13" t="str">
        <x:v>选项人数/该题有效答卷数</x:v>
      </x:c>
      <x:c r="I23" s="2" t="str">
        <x:v>数值版 Sheet1!I2:I163</x:v>
      </x:c>
    </x:row>
    <x:row r="24" ht="30" customHeight="1">
      <x:c r="A24" s="2" t="str">
        <x:v>Q2</x:v>
      </x:c>
      <x:c r="B24" s="2" t="str">
        <x:v>单选</x:v>
      </x:c>
      <x:c r="C24" s="13" t="str">
        <x:v>二级综合医院</x:v>
      </x:c>
      <x:c r="D24" s="2" t="str">
        <x:v>3</x:v>
      </x:c>
      <x:c r="E24" s="11" t="n">
        <x:v>13</x:v>
      </x:c>
      <x:c r="F24" s="11" t="n">
        <x:v>162</x:v>
      </x:c>
      <x:c r="G24" s="12" t="n">
        <x:f>IF(F24=0,"n.a.",E24/F24)</x:f>
        <x:v>0.08024691358024691</x:v>
      </x:c>
      <x:c r="H24" s="13" t="str">
        <x:v>选项人数/该题有效答卷数</x:v>
      </x:c>
      <x:c r="I24" s="2" t="str">
        <x:v>数值版 Sheet1!I2:I163</x:v>
      </x:c>
    </x:row>
    <x:row r="25" ht="30" customHeight="1">
      <x:c r="A25" s="2" t="str">
        <x:v>Q2</x:v>
      </x:c>
      <x:c r="B25" s="2" t="str">
        <x:v>单选</x:v>
      </x:c>
      <x:c r="C25" s="13" t="str">
        <x:v>二级专科医院</x:v>
      </x:c>
      <x:c r="D25" s="2" t="str">
        <x:v>4</x:v>
      </x:c>
      <x:c r="E25" s="11" t="n">
        <x:v>1</x:v>
      </x:c>
      <x:c r="F25" s="11" t="n">
        <x:v>162</x:v>
      </x:c>
      <x:c r="G25" s="12" t="n">
        <x:f>IF(F25=0,"n.a.",E25/F25)</x:f>
        <x:v>0.006172839506172839</x:v>
      </x:c>
      <x:c r="H25" s="13" t="str">
        <x:v>选项人数/该题有效答卷数</x:v>
      </x:c>
      <x:c r="I25" s="2" t="str">
        <x:v>数值版 Sheet1!I2:I163</x:v>
      </x:c>
    </x:row>
    <x:row r="26" ht="30" customHeight="1">
      <x:c r="A26" s="2" t="str">
        <x:v>Q2</x:v>
      </x:c>
      <x:c r="B26" s="2" t="str">
        <x:v>单选</x:v>
      </x:c>
      <x:c r="C26" s="13" t="str">
        <x:v>其他（请注明）</x:v>
      </x:c>
      <x:c r="D26" s="2" t="str">
        <x:v>5</x:v>
      </x:c>
      <x:c r="E26" s="11" t="n">
        <x:v>3</x:v>
      </x:c>
      <x:c r="F26" s="11" t="n">
        <x:v>162</x:v>
      </x:c>
      <x:c r="G26" s="12" t="n">
        <x:f>IF(F26=0,"n.a.",E26/F26)</x:f>
        <x:v>0.018518518518518517</x:v>
      </x:c>
      <x:c r="H26" s="13" t="str">
        <x:v>选项人数/该题有效答卷数</x:v>
      </x:c>
      <x:c r="I26" s="2" t="str">
        <x:v>数值版 Sheet1!I2:I163</x:v>
      </x:c>
    </x:row>
    <x:row r="27" ht="30" customHeight="1">
      <x:c r="A27" s="2" t="str">
        <x:v>Q3</x:v>
      </x:c>
      <x:c r="B27" s="2" t="str">
        <x:v>单选</x:v>
      </x:c>
      <x:c r="C27" s="13" t="str">
        <x:v>领导班子成员</x:v>
      </x:c>
      <x:c r="D27" s="2" t="str">
        <x:v>1</x:v>
      </x:c>
      <x:c r="E27" s="11" t="n">
        <x:v>19</x:v>
      </x:c>
      <x:c r="F27" s="11" t="n">
        <x:v>162</x:v>
      </x:c>
      <x:c r="G27" s="12" t="n">
        <x:f>IF(F27=0,"n.a.",E27/F27)</x:f>
        <x:v>0.11728395061728394</x:v>
      </x:c>
      <x:c r="H27" s="13" t="str">
        <x:v>选项人数/该题有效答卷数</x:v>
      </x:c>
      <x:c r="I27" s="2" t="str">
        <x:v>数值版 Sheet1!J2:J163</x:v>
      </x:c>
    </x:row>
    <x:row r="28" ht="30" customHeight="1">
      <x:c r="A28" s="2" t="str">
        <x:v>Q3</x:v>
      </x:c>
      <x:c r="B28" s="2" t="str">
        <x:v>单选</x:v>
      </x:c>
      <x:c r="C28" s="13" t="str">
        <x:v>财务部门</x:v>
      </x:c>
      <x:c r="D28" s="2" t="str">
        <x:v>2</x:v>
      </x:c>
      <x:c r="E28" s="11" t="n">
        <x:v>92</x:v>
      </x:c>
      <x:c r="F28" s="11" t="n">
        <x:v>162</x:v>
      </x:c>
      <x:c r="G28" s="12" t="n">
        <x:f>IF(F28=0,"n.a.",E28/F28)</x:f>
        <x:v>0.5679012345679012</x:v>
      </x:c>
      <x:c r="H28" s="13" t="str">
        <x:v>选项人数/该题有效答卷数</x:v>
      </x:c>
      <x:c r="I28" s="2" t="str">
        <x:v>数值版 Sheet1!J2:J163</x:v>
      </x:c>
    </x:row>
    <x:row r="29" ht="30" customHeight="1">
      <x:c r="A29" s="2" t="str">
        <x:v>Q3</x:v>
      </x:c>
      <x:c r="B29" s="2" t="str">
        <x:v>单选</x:v>
      </x:c>
      <x:c r="C29" s="13" t="str">
        <x:v>审计部门</x:v>
      </x:c>
      <x:c r="D29" s="2" t="str">
        <x:v>3</x:v>
      </x:c>
      <x:c r="E29" s="11" t="n">
        <x:v>17</x:v>
      </x:c>
      <x:c r="F29" s="11" t="n">
        <x:v>162</x:v>
      </x:c>
      <x:c r="G29" s="12" t="n">
        <x:f>IF(F29=0,"n.a.",E29/F29)</x:f>
        <x:v>0.10493827160493827</x:v>
      </x:c>
      <x:c r="H29" s="13" t="str">
        <x:v>选项人数/该题有效答卷数</x:v>
      </x:c>
      <x:c r="I29" s="2" t="str">
        <x:v>数值版 Sheet1!J2:J163</x:v>
      </x:c>
    </x:row>
    <x:row r="30" ht="30" customHeight="1">
      <x:c r="A30" s="2" t="str">
        <x:v>Q3</x:v>
      </x:c>
      <x:c r="B30" s="2" t="str">
        <x:v>单选</x:v>
      </x:c>
      <x:c r="C30" s="13" t="str">
        <x:v>运营管理部门</x:v>
      </x:c>
      <x:c r="D30" s="2" t="str">
        <x:v>4</x:v>
      </x:c>
      <x:c r="E30" s="11" t="n">
        <x:v>22</x:v>
      </x:c>
      <x:c r="F30" s="11" t="n">
        <x:v>162</x:v>
      </x:c>
      <x:c r="G30" s="12" t="n">
        <x:f>IF(F30=0,"n.a.",E30/F30)</x:f>
        <x:v>0.13580246913580246</x:v>
      </x:c>
      <x:c r="H30" s="13" t="str">
        <x:v>选项人数/该题有效答卷数</x:v>
      </x:c>
      <x:c r="I30" s="2" t="str">
        <x:v>数值版 Sheet1!J2:J163</x:v>
      </x:c>
    </x:row>
    <x:row r="31" ht="30" customHeight="1">
      <x:c r="A31" s="2" t="str">
        <x:v>Q3</x:v>
      </x:c>
      <x:c r="B31" s="2" t="str">
        <x:v>单选</x:v>
      </x:c>
      <x:c r="C31" s="13" t="str">
        <x:v>医保管理部门</x:v>
      </x:c>
      <x:c r="D31" s="2" t="str">
        <x:v>5</x:v>
      </x:c>
      <x:c r="E31" s="11" t="n">
        <x:v>1</x:v>
      </x:c>
      <x:c r="F31" s="11" t="n">
        <x:v>162</x:v>
      </x:c>
      <x:c r="G31" s="12" t="n">
        <x:f>IF(F31=0,"n.a.",E31/F31)</x:f>
        <x:v>0.006172839506172839</x:v>
      </x:c>
      <x:c r="H31" s="13" t="str">
        <x:v>选项人数/该题有效答卷数</x:v>
      </x:c>
      <x:c r="I31" s="2" t="str">
        <x:v>数值版 Sheet1!J2:J163</x:v>
      </x:c>
    </x:row>
    <x:row r="32" ht="30" customHeight="1">
      <x:c r="A32" s="2" t="str">
        <x:v>Q3</x:v>
      </x:c>
      <x:c r="B32" s="2" t="str">
        <x:v>单选</x:v>
      </x:c>
      <x:c r="C32" s="13" t="str">
        <x:v>绩效/人事部门</x:v>
      </x:c>
      <x:c r="D32" s="2" t="str">
        <x:v>6</x:v>
      </x:c>
      <x:c r="E32" s="11" t="n">
        <x:v>5</x:v>
      </x:c>
      <x:c r="F32" s="11" t="n">
        <x:v>162</x:v>
      </x:c>
      <x:c r="G32" s="12" t="n">
        <x:f>IF(F32=0,"n.a.",E32/F32)</x:f>
        <x:v>0.030864197530864196</x:v>
      </x:c>
      <x:c r="H32" s="13" t="str">
        <x:v>选项人数/该题有效答卷数</x:v>
      </x:c>
      <x:c r="I32" s="2" t="str">
        <x:v>数值版 Sheet1!J2:J163</x:v>
      </x:c>
    </x:row>
    <x:row r="33" ht="30" customHeight="1">
      <x:c r="A33" s="2" t="str">
        <x:v>Q3</x:v>
      </x:c>
      <x:c r="B33" s="2" t="str">
        <x:v>单选</x:v>
      </x:c>
      <x:c r="C33" s="13" t="str">
        <x:v>院办/综合管理部门</x:v>
      </x:c>
      <x:c r="D33" s="2" t="str">
        <x:v>8</x:v>
      </x:c>
      <x:c r="E33" s="11" t="n">
        <x:v>1</x:v>
      </x:c>
      <x:c r="F33" s="11" t="n">
        <x:v>162</x:v>
      </x:c>
      <x:c r="G33" s="12" t="n">
        <x:f>IF(F33=0,"n.a.",E33/F33)</x:f>
        <x:v>0.006172839506172839</x:v>
      </x:c>
      <x:c r="H33" s="13" t="str">
        <x:v>选项人数/该题有效答卷数</x:v>
      </x:c>
      <x:c r="I33" s="2" t="str">
        <x:v>数值版 Sheet1!J2:J163</x:v>
      </x:c>
    </x:row>
    <x:row r="34" ht="30" customHeight="1">
      <x:c r="A34" s="2" t="str">
        <x:v>Q3</x:v>
      </x:c>
      <x:c r="B34" s="2" t="str">
        <x:v>单选</x:v>
      </x:c>
      <x:c r="C34" s="13" t="str">
        <x:v>其他</x:v>
      </x:c>
      <x:c r="D34" s="2" t="str">
        <x:v>9</x:v>
      </x:c>
      <x:c r="E34" s="11" t="n">
        <x:v>5</x:v>
      </x:c>
      <x:c r="F34" s="11" t="n">
        <x:v>162</x:v>
      </x:c>
      <x:c r="G34" s="12" t="n">
        <x:f>IF(F34=0,"n.a.",E34/F34)</x:f>
        <x:v>0.030864197530864196</x:v>
      </x:c>
      <x:c r="H34" s="13" t="str">
        <x:v>选项人数/该题有效答卷数</x:v>
      </x:c>
      <x:c r="I34" s="2" t="str">
        <x:v>数值版 Sheet1!J2:J163</x:v>
      </x:c>
    </x:row>
    <x:row r="35" ht="30" customHeight="1">
      <x:c r="A35" s="2" t="str">
        <x:v>Q4</x:v>
      </x:c>
      <x:c r="B35" s="2" t="str">
        <x:v>单选</x:v>
      </x:c>
      <x:c r="C35" s="13" t="str">
        <x:v>院级领导</x:v>
      </x:c>
      <x:c r="D35" s="2" t="str">
        <x:v>1</x:v>
      </x:c>
      <x:c r="E35" s="11" t="n">
        <x:v>6</x:v>
      </x:c>
      <x:c r="F35" s="11" t="n">
        <x:v>162</x:v>
      </x:c>
      <x:c r="G35" s="12" t="n">
        <x:f>IF(F35=0,"n.a.",E35/F35)</x:f>
        <x:v>0.037037037037037035</x:v>
      </x:c>
      <x:c r="H35" s="13" t="str">
        <x:v>选项人数/该题有效答卷数</x:v>
      </x:c>
      <x:c r="I35" s="2" t="str">
        <x:v>数值版 Sheet1!K2:K163</x:v>
      </x:c>
    </x:row>
    <x:row r="36" ht="30" customHeight="1">
      <x:c r="A36" s="2" t="str">
        <x:v>Q4</x:v>
      </x:c>
      <x:c r="B36" s="2" t="str">
        <x:v>单选</x:v>
      </x:c>
      <x:c r="C36" s="13" t="str">
        <x:v>总会计师</x:v>
      </x:c>
      <x:c r="D36" s="2" t="str">
        <x:v>2</x:v>
      </x:c>
      <x:c r="E36" s="11" t="n">
        <x:v>14</x:v>
      </x:c>
      <x:c r="F36" s="11" t="n">
        <x:v>162</x:v>
      </x:c>
      <x:c r="G36" s="12" t="n">
        <x:f>IF(F36=0,"n.a.",E36/F36)</x:f>
        <x:v>0.08641975308641975</x:v>
      </x:c>
      <x:c r="H36" s="13" t="str">
        <x:v>选项人数/该题有效答卷数</x:v>
      </x:c>
      <x:c r="I36" s="2" t="str">
        <x:v>数值版 Sheet1!K2:K163</x:v>
      </x:c>
    </x:row>
    <x:row r="37" ht="30" customHeight="1">
      <x:c r="A37" s="2" t="str">
        <x:v>Q4</x:v>
      </x:c>
      <x:c r="B37" s="2" t="str">
        <x:v>单选</x:v>
      </x:c>
      <x:c r="C37" s="13" t="str">
        <x:v>部门正职</x:v>
      </x:c>
      <x:c r="D37" s="2" t="str">
        <x:v>3</x:v>
      </x:c>
      <x:c r="E37" s="11" t="n">
        <x:v>41</x:v>
      </x:c>
      <x:c r="F37" s="11" t="n">
        <x:v>162</x:v>
      </x:c>
      <x:c r="G37" s="12" t="n">
        <x:f>IF(F37=0,"n.a.",E37/F37)</x:f>
        <x:v>0.25308641975308643</x:v>
      </x:c>
      <x:c r="H37" s="13" t="str">
        <x:v>选项人数/该题有效答卷数</x:v>
      </x:c>
      <x:c r="I37" s="2" t="str">
        <x:v>数值版 Sheet1!K2:K163</x:v>
      </x:c>
    </x:row>
    <x:row r="38" ht="30" customHeight="1">
      <x:c r="A38" s="2" t="str">
        <x:v>Q4</x:v>
      </x:c>
      <x:c r="B38" s="2" t="str">
        <x:v>单选</x:v>
      </x:c>
      <x:c r="C38" s="13" t="str">
        <x:v>部门副职</x:v>
      </x:c>
      <x:c r="D38" s="2" t="str">
        <x:v>4</x:v>
      </x:c>
      <x:c r="E38" s="11" t="n">
        <x:v>30</x:v>
      </x:c>
      <x:c r="F38" s="11" t="n">
        <x:v>162</x:v>
      </x:c>
      <x:c r="G38" s="12" t="n">
        <x:f>IF(F38=0,"n.a.",E38/F38)</x:f>
        <x:v>0.18518518518518517</x:v>
      </x:c>
      <x:c r="H38" s="13" t="str">
        <x:v>选项人数/该题有效答卷数</x:v>
      </x:c>
      <x:c r="I38" s="2" t="str">
        <x:v>数值版 Sheet1!K2:K163</x:v>
      </x:c>
    </x:row>
    <x:row r="39" ht="30" customHeight="1">
      <x:c r="A39" s="2" t="str">
        <x:v>Q4</x:v>
      </x:c>
      <x:c r="B39" s="2" t="str">
        <x:v>单选</x:v>
      </x:c>
      <x:c r="C39" s="13" t="str">
        <x:v>其他</x:v>
      </x:c>
      <x:c r="D39" s="2" t="str">
        <x:v>5</x:v>
      </x:c>
      <x:c r="E39" s="11" t="n">
        <x:v>71</x:v>
      </x:c>
      <x:c r="F39" s="11" t="n">
        <x:v>162</x:v>
      </x:c>
      <x:c r="G39" s="12" t="n">
        <x:f>IF(F39=0,"n.a.",E39/F39)</x:f>
        <x:v>0.4382716049382716</x:v>
      </x:c>
      <x:c r="H39" s="13" t="str">
        <x:v>选项人数/该题有效答卷数</x:v>
      </x:c>
      <x:c r="I39" s="2" t="str">
        <x:v>数值版 Sheet1!K2:K163</x:v>
      </x:c>
    </x:row>
    <x:row r="40" ht="30" customHeight="1">
      <x:c r="A40" s="2" t="str">
        <x:v>Q5</x:v>
      </x:c>
      <x:c r="B40" s="2" t="str">
        <x:v>单选</x:v>
      </x:c>
      <x:c r="C40" s="13" t="str">
        <x:v>51岁及以上</x:v>
      </x:c>
      <x:c r="D40" s="2" t="str">
        <x:v>1</x:v>
      </x:c>
      <x:c r="E40" s="11" t="n">
        <x:v>18</x:v>
      </x:c>
      <x:c r="F40" s="11" t="n">
        <x:v>162</x:v>
      </x:c>
      <x:c r="G40" s="12" t="n">
        <x:f>IF(F40=0,"n.a.",E40/F40)</x:f>
        <x:v>0.1111111111111111</x:v>
      </x:c>
      <x:c r="H40" s="13" t="str">
        <x:v>选项人数/该题有效答卷数</x:v>
      </x:c>
      <x:c r="I40" s="2" t="str">
        <x:v>数值版 Sheet1!L2:L163</x:v>
      </x:c>
    </x:row>
    <x:row r="41" ht="30" customHeight="1">
      <x:c r="A41" s="2" t="str">
        <x:v>Q5</x:v>
      </x:c>
      <x:c r="B41" s="2" t="str">
        <x:v>单选</x:v>
      </x:c>
      <x:c r="C41" s="13" t="str">
        <x:v>41—50岁</x:v>
      </x:c>
      <x:c r="D41" s="2" t="str">
        <x:v>2</x:v>
      </x:c>
      <x:c r="E41" s="11" t="n">
        <x:v>43</x:v>
      </x:c>
      <x:c r="F41" s="11" t="n">
        <x:v>162</x:v>
      </x:c>
      <x:c r="G41" s="12" t="n">
        <x:f>IF(F41=0,"n.a.",E41/F41)</x:f>
        <x:v>0.2654320987654321</x:v>
      </x:c>
      <x:c r="H41" s="13" t="str">
        <x:v>选项人数/该题有效答卷数</x:v>
      </x:c>
      <x:c r="I41" s="2" t="str">
        <x:v>数值版 Sheet1!L2:L163</x:v>
      </x:c>
    </x:row>
    <x:row r="42" ht="30" customHeight="1">
      <x:c r="A42" s="2" t="str">
        <x:v>Q5</x:v>
      </x:c>
      <x:c r="B42" s="2" t="str">
        <x:v>单选</x:v>
      </x:c>
      <x:c r="C42" s="13" t="str">
        <x:v>31—40岁</x:v>
      </x:c>
      <x:c r="D42" s="2" t="str">
        <x:v>3</x:v>
      </x:c>
      <x:c r="E42" s="11" t="n">
        <x:v>99</x:v>
      </x:c>
      <x:c r="F42" s="11" t="n">
        <x:v>162</x:v>
      </x:c>
      <x:c r="G42" s="12" t="n">
        <x:f>IF(F42=0,"n.a.",E42/F42)</x:f>
        <x:v>0.6111111111111112</x:v>
      </x:c>
      <x:c r="H42" s="13" t="str">
        <x:v>选项人数/该题有效答卷数</x:v>
      </x:c>
      <x:c r="I42" s="2" t="str">
        <x:v>数值版 Sheet1!L2:L163</x:v>
      </x:c>
    </x:row>
    <x:row r="43" ht="30" customHeight="1">
      <x:c r="A43" s="2" t="str">
        <x:v>Q5</x:v>
      </x:c>
      <x:c r="B43" s="2" t="str">
        <x:v>单选</x:v>
      </x:c>
      <x:c r="C43" s="13" t="str">
        <x:v>30岁及以下</x:v>
      </x:c>
      <x:c r="D43" s="2" t="str">
        <x:v>4</x:v>
      </x:c>
      <x:c r="E43" s="11" t="n">
        <x:v>2</x:v>
      </x:c>
      <x:c r="F43" s="11" t="n">
        <x:v>162</x:v>
      </x:c>
      <x:c r="G43" s="12" t="n">
        <x:f>IF(F43=0,"n.a.",E43/F43)</x:f>
        <x:v>0.012345679012345678</x:v>
      </x:c>
      <x:c r="H43" s="13" t="str">
        <x:v>选项人数/该题有效答卷数</x:v>
      </x:c>
      <x:c r="I43" s="2" t="str">
        <x:v>数值版 Sheet1!L2:L163</x:v>
      </x:c>
    </x:row>
    <x:row r="44" ht="30" customHeight="1">
      <x:c r="A44" s="2" t="str">
        <x:v>Q6</x:v>
      </x:c>
      <x:c r="B44" s="2" t="str">
        <x:v>单选</x:v>
      </x:c>
      <x:c r="C44" s="13" t="str">
        <x:v>博士</x:v>
      </x:c>
      <x:c r="D44" s="2" t="str">
        <x:v>1</x:v>
      </x:c>
      <x:c r="E44" s="11" t="n">
        <x:v>3</x:v>
      </x:c>
      <x:c r="F44" s="11" t="n">
        <x:v>162</x:v>
      </x:c>
      <x:c r="G44" s="12" t="n">
        <x:f>IF(F44=0,"n.a.",E44/F44)</x:f>
        <x:v>0.018518518518518517</x:v>
      </x:c>
      <x:c r="H44" s="13" t="str">
        <x:v>选项人数/该题有效答卷数</x:v>
      </x:c>
      <x:c r="I44" s="2" t="str">
        <x:v>数值版 Sheet1!M2:M163</x:v>
      </x:c>
    </x:row>
    <x:row r="45" ht="30" customHeight="1">
      <x:c r="A45" s="2" t="str">
        <x:v>Q6</x:v>
      </x:c>
      <x:c r="B45" s="2" t="str">
        <x:v>单选</x:v>
      </x:c>
      <x:c r="C45" s="13" t="str">
        <x:v>硕士</x:v>
      </x:c>
      <x:c r="D45" s="2" t="str">
        <x:v>2</x:v>
      </x:c>
      <x:c r="E45" s="11" t="n">
        <x:v>88</x:v>
      </x:c>
      <x:c r="F45" s="11" t="n">
        <x:v>162</x:v>
      </x:c>
      <x:c r="G45" s="12" t="n">
        <x:f>IF(F45=0,"n.a.",E45/F45)</x:f>
        <x:v>0.5432098765432098</x:v>
      </x:c>
      <x:c r="H45" s="13" t="str">
        <x:v>选项人数/该题有效答卷数</x:v>
      </x:c>
      <x:c r="I45" s="2" t="str">
        <x:v>数值版 Sheet1!M2:M163</x:v>
      </x:c>
    </x:row>
    <x:row r="46" ht="30" customHeight="1">
      <x:c r="A46" s="2" t="str">
        <x:v>Q6</x:v>
      </x:c>
      <x:c r="B46" s="2" t="str">
        <x:v>单选</x:v>
      </x:c>
      <x:c r="C46" s="13" t="str">
        <x:v>本科</x:v>
      </x:c>
      <x:c r="D46" s="2" t="str">
        <x:v>3</x:v>
      </x:c>
      <x:c r="E46" s="11" t="n">
        <x:v>70</x:v>
      </x:c>
      <x:c r="F46" s="11" t="n">
        <x:v>162</x:v>
      </x:c>
      <x:c r="G46" s="12" t="n">
        <x:f>IF(F46=0,"n.a.",E46/F46)</x:f>
        <x:v>0.43209876543209874</x:v>
      </x:c>
      <x:c r="H46" s="13" t="str">
        <x:v>选项人数/该题有效答卷数</x:v>
      </x:c>
      <x:c r="I46" s="2" t="str">
        <x:v>数值版 Sheet1!M2:M163</x:v>
      </x:c>
    </x:row>
    <x:row r="47" ht="30" customHeight="1">
      <x:c r="A47" s="2" t="str">
        <x:v>Q6</x:v>
      </x:c>
      <x:c r="B47" s="2" t="str">
        <x:v>单选</x:v>
      </x:c>
      <x:c r="C47" s="13" t="str">
        <x:v>大专及以下</x:v>
      </x:c>
      <x:c r="D47" s="2" t="str">
        <x:v>4</x:v>
      </x:c>
      <x:c r="E47" s="11" t="n">
        <x:v>1</x:v>
      </x:c>
      <x:c r="F47" s="11" t="n">
        <x:v>162</x:v>
      </x:c>
      <x:c r="G47" s="12" t="n">
        <x:f>IF(F47=0,"n.a.",E47/F47)</x:f>
        <x:v>0.006172839506172839</x:v>
      </x:c>
      <x:c r="H47" s="13" t="str">
        <x:v>选项人数/该题有效答卷数</x:v>
      </x:c>
      <x:c r="I47" s="2" t="str">
        <x:v>数值版 Sheet1!M2:M163</x:v>
      </x:c>
    </x:row>
    <x:row r="48" ht="30" customHeight="1">
      <x:c r="A48" s="2" t="str">
        <x:v>Q7</x:v>
      </x:c>
      <x:c r="B48" s="2" t="str">
        <x:v>单选</x:v>
      </x:c>
      <x:c r="C48" s="13" t="str">
        <x:v>财会审计类</x:v>
      </x:c>
      <x:c r="D48" s="2" t="str">
        <x:v>1</x:v>
      </x:c>
      <x:c r="E48" s="11" t="n">
        <x:v>142</x:v>
      </x:c>
      <x:c r="F48" s="11" t="n">
        <x:v>162</x:v>
      </x:c>
      <x:c r="G48" s="12" t="n">
        <x:f>IF(F48=0,"n.a.",E48/F48)</x:f>
        <x:v>0.8765432098765432</x:v>
      </x:c>
      <x:c r="H48" s="13" t="str">
        <x:v>选项人数/该题有效答卷数</x:v>
      </x:c>
      <x:c r="I48" s="2" t="str">
        <x:v>数值版 Sheet1!N2:N163</x:v>
      </x:c>
    </x:row>
    <x:row r="49" ht="30" customHeight="1">
      <x:c r="A49" s="2" t="str">
        <x:v>Q7</x:v>
      </x:c>
      <x:c r="B49" s="2" t="str">
        <x:v>单选</x:v>
      </x:c>
      <x:c r="C49" s="13" t="str">
        <x:v>医疗/护理类</x:v>
      </x:c>
      <x:c r="D49" s="2" t="str">
        <x:v>2</x:v>
      </x:c>
      <x:c r="E49" s="11" t="n">
        <x:v>1</x:v>
      </x:c>
      <x:c r="F49" s="11" t="n">
        <x:v>162</x:v>
      </x:c>
      <x:c r="G49" s="12" t="n">
        <x:f>IF(F49=0,"n.a.",E49/F49)</x:f>
        <x:v>0.006172839506172839</x:v>
      </x:c>
      <x:c r="H49" s="13" t="str">
        <x:v>选项人数/该题有效答卷数</x:v>
      </x:c>
      <x:c r="I49" s="2" t="str">
        <x:v>数值版 Sheet1!N2:N163</x:v>
      </x:c>
    </x:row>
    <x:row r="50" ht="30" customHeight="1">
      <x:c r="A50" s="2" t="str">
        <x:v>Q7</x:v>
      </x:c>
      <x:c r="B50" s="2" t="str">
        <x:v>单选</x:v>
      </x:c>
      <x:c r="C50" s="13" t="str">
        <x:v>卫生管理类</x:v>
      </x:c>
      <x:c r="D50" s="2" t="str">
        <x:v>3</x:v>
      </x:c>
      <x:c r="E50" s="11" t="n">
        <x:v>5</x:v>
      </x:c>
      <x:c r="F50" s="11" t="n">
        <x:v>162</x:v>
      </x:c>
      <x:c r="G50" s="12" t="n">
        <x:f>IF(F50=0,"n.a.",E50/F50)</x:f>
        <x:v>0.030864197530864196</x:v>
      </x:c>
      <x:c r="H50" s="13" t="str">
        <x:v>选项人数/该题有效答卷数</x:v>
      </x:c>
      <x:c r="I50" s="2" t="str">
        <x:v>数值版 Sheet1!N2:N163</x:v>
      </x:c>
    </x:row>
    <x:row r="51" ht="30" customHeight="1">
      <x:c r="A51" s="2" t="str">
        <x:v>Q7</x:v>
      </x:c>
      <x:c r="B51" s="2" t="str">
        <x:v>单选</x:v>
      </x:c>
      <x:c r="C51" s="13" t="str">
        <x:v>经济金融类</x:v>
      </x:c>
      <x:c r="D51" s="2" t="str">
        <x:v>4</x:v>
      </x:c>
      <x:c r="E51" s="11" t="n">
        <x:v>9</x:v>
      </x:c>
      <x:c r="F51" s="11" t="n">
        <x:v>162</x:v>
      </x:c>
      <x:c r="G51" s="12" t="n">
        <x:f>IF(F51=0,"n.a.",E51/F51)</x:f>
        <x:v>0.05555555555555555</x:v>
      </x:c>
      <x:c r="H51" s="13" t="str">
        <x:v>选项人数/该题有效答卷数</x:v>
      </x:c>
      <x:c r="I51" s="2" t="str">
        <x:v>数值版 Sheet1!N2:N163</x:v>
      </x:c>
    </x:row>
    <x:row r="52" ht="30" customHeight="1">
      <x:c r="A52" s="2" t="str">
        <x:v>Q7</x:v>
      </x:c>
      <x:c r="B52" s="2" t="str">
        <x:v>单选</x:v>
      </x:c>
      <x:c r="C52" s="13" t="str">
        <x:v>信息技术类</x:v>
      </x:c>
      <x:c r="D52" s="2" t="str">
        <x:v>5</x:v>
      </x:c>
      <x:c r="E52" s="11" t="n">
        <x:v>3</x:v>
      </x:c>
      <x:c r="F52" s="11" t="n">
        <x:v>162</x:v>
      </x:c>
      <x:c r="G52" s="12" t="n">
        <x:f>IF(F52=0,"n.a.",E52/F52)</x:f>
        <x:v>0.018518518518518517</x:v>
      </x:c>
      <x:c r="H52" s="13" t="str">
        <x:v>选项人数/该题有效答卷数</x:v>
      </x:c>
      <x:c r="I52" s="2" t="str">
        <x:v>数值版 Sheet1!N2:N163</x:v>
      </x:c>
    </x:row>
    <x:row r="53" ht="30" customHeight="1">
      <x:c r="A53" s="2" t="str">
        <x:v>Q7</x:v>
      </x:c>
      <x:c r="B53" s="2" t="str">
        <x:v>单选</x:v>
      </x:c>
      <x:c r="C53" s="13" t="str">
        <x:v>其他</x:v>
      </x:c>
      <x:c r="D53" s="2" t="str">
        <x:v>6</x:v>
      </x:c>
      <x:c r="E53" s="11" t="n">
        <x:v>2</x:v>
      </x:c>
      <x:c r="F53" s="11" t="n">
        <x:v>162</x:v>
      </x:c>
      <x:c r="G53" s="12" t="n">
        <x:f>IF(F53=0,"n.a.",E53/F53)</x:f>
        <x:v>0.012345679012345678</x:v>
      </x:c>
      <x:c r="H53" s="13" t="str">
        <x:v>选项人数/该题有效答卷数</x:v>
      </x:c>
      <x:c r="I53" s="2" t="str">
        <x:v>数值版 Sheet1!N2:N163</x:v>
      </x:c>
    </x:row>
    <x:row r="54" ht="30" customHeight="1">
      <x:c r="A54" s="2" t="str">
        <x:v>Q8</x:v>
      </x:c>
      <x:c r="B54" s="2" t="str">
        <x:v>单选</x:v>
      </x:c>
      <x:c r="C54" s="13" t="str">
        <x:v>正高级</x:v>
      </x:c>
      <x:c r="D54" s="2" t="str">
        <x:v>1</x:v>
      </x:c>
      <x:c r="E54" s="11" t="n">
        <x:v>25</x:v>
      </x:c>
      <x:c r="F54" s="11" t="n">
        <x:v>162</x:v>
      </x:c>
      <x:c r="G54" s="12" t="n">
        <x:f>IF(F54=0,"n.a.",E54/F54)</x:f>
        <x:v>0.15432098765432098</x:v>
      </x:c>
      <x:c r="H54" s="13" t="str">
        <x:v>选项人数/该题有效答卷数</x:v>
      </x:c>
      <x:c r="I54" s="2" t="str">
        <x:v>数值版 Sheet1!O2:O163</x:v>
      </x:c>
    </x:row>
    <x:row r="55" ht="30" customHeight="1">
      <x:c r="A55" s="2" t="str">
        <x:v>Q8</x:v>
      </x:c>
      <x:c r="B55" s="2" t="str">
        <x:v>单选</x:v>
      </x:c>
      <x:c r="C55" s="13" t="str">
        <x:v>副高级</x:v>
      </x:c>
      <x:c r="D55" s="2" t="str">
        <x:v>2</x:v>
      </x:c>
      <x:c r="E55" s="11" t="n">
        <x:v>50</x:v>
      </x:c>
      <x:c r="F55" s="11" t="n">
        <x:v>162</x:v>
      </x:c>
      <x:c r="G55" s="12" t="n">
        <x:f>IF(F55=0,"n.a.",E55/F55)</x:f>
        <x:v>0.30864197530864196</x:v>
      </x:c>
      <x:c r="H55" s="13" t="str">
        <x:v>选项人数/该题有效答卷数</x:v>
      </x:c>
      <x:c r="I55" s="2" t="str">
        <x:v>数值版 Sheet1!O2:O163</x:v>
      </x:c>
    </x:row>
    <x:row r="56" ht="30" customHeight="1">
      <x:c r="A56" s="2" t="str">
        <x:v>Q8</x:v>
      </x:c>
      <x:c r="B56" s="2" t="str">
        <x:v>单选</x:v>
      </x:c>
      <x:c r="C56" s="13" t="str">
        <x:v>中级</x:v>
      </x:c>
      <x:c r="D56" s="2" t="str">
        <x:v>3</x:v>
      </x:c>
      <x:c r="E56" s="11" t="n">
        <x:v>83</x:v>
      </x:c>
      <x:c r="F56" s="11" t="n">
        <x:v>162</x:v>
      </x:c>
      <x:c r="G56" s="12" t="n">
        <x:f>IF(F56=0,"n.a.",E56/F56)</x:f>
        <x:v>0.5123456790123457</x:v>
      </x:c>
      <x:c r="H56" s="13" t="str">
        <x:v>选项人数/该题有效答卷数</x:v>
      </x:c>
      <x:c r="I56" s="2" t="str">
        <x:v>数值版 Sheet1!O2:O163</x:v>
      </x:c>
    </x:row>
    <x:row r="57" ht="30" customHeight="1">
      <x:c r="A57" s="2" t="str">
        <x:v>Q8</x:v>
      </x:c>
      <x:c r="B57" s="2" t="str">
        <x:v>单选</x:v>
      </x:c>
      <x:c r="C57" s="13" t="str">
        <x:v>初级及以下</x:v>
      </x:c>
      <x:c r="D57" s="2" t="str">
        <x:v>4</x:v>
      </x:c>
      <x:c r="E57" s="11" t="n">
        <x:v>1</x:v>
      </x:c>
      <x:c r="F57" s="11" t="n">
        <x:v>162</x:v>
      </x:c>
      <x:c r="G57" s="12" t="n">
        <x:f>IF(F57=0,"n.a.",E57/F57)</x:f>
        <x:v>0.006172839506172839</x:v>
      </x:c>
      <x:c r="H57" s="13" t="str">
        <x:v>选项人数/该题有效答卷数</x:v>
      </x:c>
      <x:c r="I57" s="2" t="str">
        <x:v>数值版 Sheet1!O2:O163</x:v>
      </x:c>
    </x:row>
    <x:row r="58" ht="30" customHeight="1">
      <x:c r="A58" s="2" t="str">
        <x:v>Q8</x:v>
      </x:c>
      <x:c r="B58" s="2" t="str">
        <x:v>单选</x:v>
      </x:c>
      <x:c r="C58" s="13" t="str">
        <x:v>未评聘</x:v>
      </x:c>
      <x:c r="D58" s="2" t="str">
        <x:v>5</x:v>
      </x:c>
      <x:c r="E58" s="11" t="n">
        <x:v>3</x:v>
      </x:c>
      <x:c r="F58" s="11" t="n">
        <x:v>162</x:v>
      </x:c>
      <x:c r="G58" s="12" t="n">
        <x:f>IF(F58=0,"n.a.",E58/F58)</x:f>
        <x:v>0.018518518518518517</x:v>
      </x:c>
      <x:c r="H58" s="13" t="str">
        <x:v>选项人数/该题有效答卷数</x:v>
      </x:c>
      <x:c r="I58" s="2" t="str">
        <x:v>数值版 Sheet1!O2:O163</x:v>
      </x:c>
    </x:row>
    <x:row r="59" ht="30" customHeight="1">
      <x:c r="A59" s="2" t="str">
        <x:v>Q9</x:v>
      </x:c>
      <x:c r="B59" s="2" t="str">
        <x:v>单选</x:v>
      </x:c>
      <x:c r="C59" s="13" t="str">
        <x:v>20年以上</x:v>
      </x:c>
      <x:c r="D59" s="2" t="str">
        <x:v>1</x:v>
      </x:c>
      <x:c r="E59" s="11" t="n">
        <x:v>40</x:v>
      </x:c>
      <x:c r="F59" s="11" t="n">
        <x:v>162</x:v>
      </x:c>
      <x:c r="G59" s="12" t="n">
        <x:f>IF(F59=0,"n.a.",E59/F59)</x:f>
        <x:v>0.24691358024691357</x:v>
      </x:c>
      <x:c r="H59" s="13" t="str">
        <x:v>选项人数/该题有效答卷数</x:v>
      </x:c>
      <x:c r="I59" s="2" t="str">
        <x:v>数值版 Sheet1!P2:P163</x:v>
      </x:c>
    </x:row>
    <x:row r="60" ht="30" customHeight="1">
      <x:c r="A60" s="2" t="str">
        <x:v>Q9</x:v>
      </x:c>
      <x:c r="B60" s="2" t="str">
        <x:v>单选</x:v>
      </x:c>
      <x:c r="C60" s="13" t="str">
        <x:v>11—20年</x:v>
      </x:c>
      <x:c r="D60" s="2" t="str">
        <x:v>2</x:v>
      </x:c>
      <x:c r="E60" s="11" t="n">
        <x:v>67</x:v>
      </x:c>
      <x:c r="F60" s="11" t="n">
        <x:v>162</x:v>
      </x:c>
      <x:c r="G60" s="12" t="n">
        <x:f>IF(F60=0,"n.a.",E60/F60)</x:f>
        <x:v>0.41358024691358025</x:v>
      </x:c>
      <x:c r="H60" s="13" t="str">
        <x:v>选项人数/该题有效答卷数</x:v>
      </x:c>
      <x:c r="I60" s="2" t="str">
        <x:v>数值版 Sheet1!P2:P163</x:v>
      </x:c>
    </x:row>
    <x:row r="61" ht="30" customHeight="1">
      <x:c r="A61" s="2" t="str">
        <x:v>Q9</x:v>
      </x:c>
      <x:c r="B61" s="2" t="str">
        <x:v>单选</x:v>
      </x:c>
      <x:c r="C61" s="13" t="str">
        <x:v>6—10年</x:v>
      </x:c>
      <x:c r="D61" s="2" t="str">
        <x:v>3</x:v>
      </x:c>
      <x:c r="E61" s="11" t="n">
        <x:v>45</x:v>
      </x:c>
      <x:c r="F61" s="11" t="n">
        <x:v>162</x:v>
      </x:c>
      <x:c r="G61" s="12" t="n">
        <x:f>IF(F61=0,"n.a.",E61/F61)</x:f>
        <x:v>0.2777777777777778</x:v>
      </x:c>
      <x:c r="H61" s="13" t="str">
        <x:v>选项人数/该题有效答卷数</x:v>
      </x:c>
      <x:c r="I61" s="2" t="str">
        <x:v>数值版 Sheet1!P2:P163</x:v>
      </x:c>
    </x:row>
    <x:row r="62" ht="30" customHeight="1">
      <x:c r="A62" s="2" t="str">
        <x:v>Q9</x:v>
      </x:c>
      <x:c r="B62" s="2" t="str">
        <x:v>单选</x:v>
      </x:c>
      <x:c r="C62" s="13" t="str">
        <x:v>3—5年</x:v>
      </x:c>
      <x:c r="D62" s="2" t="str">
        <x:v>4</x:v>
      </x:c>
      <x:c r="E62" s="11" t="n">
        <x:v>7</x:v>
      </x:c>
      <x:c r="F62" s="11" t="n">
        <x:v>162</x:v>
      </x:c>
      <x:c r="G62" s="12" t="n">
        <x:f>IF(F62=0,"n.a.",E62/F62)</x:f>
        <x:v>0.043209876543209874</x:v>
      </x:c>
      <x:c r="H62" s="13" t="str">
        <x:v>选项人数/该题有效答卷数</x:v>
      </x:c>
      <x:c r="I62" s="2" t="str">
        <x:v>数值版 Sheet1!P2:P163</x:v>
      </x:c>
    </x:row>
    <x:row r="63" ht="30" customHeight="1">
      <x:c r="A63" s="2" t="str">
        <x:v>Q9</x:v>
      </x:c>
      <x:c r="B63" s="2" t="str">
        <x:v>单选</x:v>
      </x:c>
      <x:c r="C63" s="13" t="str">
        <x:v>3年以下</x:v>
      </x:c>
      <x:c r="D63" s="2" t="str">
        <x:v>5</x:v>
      </x:c>
      <x:c r="E63" s="11" t="n">
        <x:v>3</x:v>
      </x:c>
      <x:c r="F63" s="11" t="n">
        <x:v>162</x:v>
      </x:c>
      <x:c r="G63" s="12" t="n">
        <x:f>IF(F63=0,"n.a.",E63/F63)</x:f>
        <x:v>0.018518518518518517</x:v>
      </x:c>
      <x:c r="H63" s="13" t="str">
        <x:v>选项人数/该题有效答卷数</x:v>
      </x:c>
      <x:c r="I63" s="2" t="str">
        <x:v>数值版 Sheet1!P2:P163</x:v>
      </x:c>
    </x:row>
    <x:row r="64" ht="30" customHeight="1">
      <x:c r="A64" s="2" t="str">
        <x:v>Q10</x:v>
      </x:c>
      <x:c r="B64" s="2" t="str">
        <x:v>是非矩阵</x:v>
      </x:c>
      <x:c r="C64" s="13" t="str">
        <x:v>设置总会计师岗位</x:v>
      </x:c>
      <x:c r="D64" s="2" t="str">
        <x:v>是</x:v>
      </x:c>
      <x:c r="E64" s="11" t="n">
        <x:v>109</x:v>
      </x:c>
      <x:c r="F64" s="11" t="n">
        <x:v>162</x:v>
      </x:c>
      <x:c r="G64" s="12" t="n">
        <x:f>IF(F64=0,"n.a.",E64/F64)</x:f>
        <x:v>0.6728395061728395</x:v>
      </x:c>
      <x:c r="H64" s="13" t="str">
        <x:v>子项有效答卷为分母</x:v>
      </x:c>
      <x:c r="I64" s="2" t="str">
        <x:v>数值版 Sheet1!Q2:U163</x:v>
      </x:c>
    </x:row>
    <x:row r="65" ht="30" customHeight="1">
      <x:c r="A65" s="2" t="str">
        <x:v>Q10</x:v>
      </x:c>
      <x:c r="B65" s="2" t="str">
        <x:v>是非矩阵</x:v>
      </x:c>
      <x:c r="C65" s="13" t="str">
        <x:v>设置总会计师岗位</x:v>
      </x:c>
      <x:c r="D65" s="2" t="str">
        <x:v>否</x:v>
      </x:c>
      <x:c r="E65" s="11" t="n">
        <x:v>53</x:v>
      </x:c>
      <x:c r="F65" s="11" t="n">
        <x:v>162</x:v>
      </x:c>
      <x:c r="G65" s="12" t="n">
        <x:f>IF(F65=0,"n.a.",E65/F65)</x:f>
        <x:v>0.3271604938271605</x:v>
      </x:c>
      <x:c r="H65" s="13" t="str">
        <x:v>子项有效答卷为分母</x:v>
      </x:c>
      <x:c r="I65" s="2" t="str">
        <x:v>数值版 Sheet1!Q2:U163</x:v>
      </x:c>
    </x:row>
    <x:row r="66" ht="30" customHeight="1">
      <x:c r="A66" s="2" t="str">
        <x:v>Q10</x:v>
      </x:c>
      <x:c r="B66" s="2" t="str">
        <x:v>是非矩阵</x:v>
      </x:c>
      <x:c r="C66" s="13" t="str">
        <x:v>设立独立运营管理部门</x:v>
      </x:c>
      <x:c r="D66" s="2" t="str">
        <x:v>是</x:v>
      </x:c>
      <x:c r="E66" s="11" t="n">
        <x:v>102</x:v>
      </x:c>
      <x:c r="F66" s="11" t="n">
        <x:v>162</x:v>
      </x:c>
      <x:c r="G66" s="12" t="n">
        <x:f>IF(F66=0,"n.a.",E66/F66)</x:f>
        <x:v>0.6296296296296297</x:v>
      </x:c>
      <x:c r="H66" s="13" t="str">
        <x:v>子项有效答卷为分母</x:v>
      </x:c>
      <x:c r="I66" s="2" t="str">
        <x:v>数值版 Sheet1!Q2:U163</x:v>
      </x:c>
    </x:row>
    <x:row r="67" ht="30" customHeight="1">
      <x:c r="A67" s="2" t="str">
        <x:v>Q10</x:v>
      </x:c>
      <x:c r="B67" s="2" t="str">
        <x:v>是非矩阵</x:v>
      </x:c>
      <x:c r="C67" s="13" t="str">
        <x:v>设立独立运营管理部门</x:v>
      </x:c>
      <x:c r="D67" s="2" t="str">
        <x:v>否</x:v>
      </x:c>
      <x:c r="E67" s="11" t="n">
        <x:v>60</x:v>
      </x:c>
      <x:c r="F67" s="11" t="n">
        <x:v>162</x:v>
      </x:c>
      <x:c r="G67" s="12" t="n">
        <x:f>IF(F67=0,"n.a.",E67/F67)</x:f>
        <x:v>0.37037037037037035</x:v>
      </x:c>
      <x:c r="H67" s="13" t="str">
        <x:v>子项有效答卷为分母</x:v>
      </x:c>
      <x:c r="I67" s="2" t="str">
        <x:v>数值版 Sheet1!Q2:U163</x:v>
      </x:c>
    </x:row>
    <x:row r="68" ht="30" customHeight="1">
      <x:c r="A68" s="2" t="str">
        <x:v>Q10</x:v>
      </x:c>
      <x:c r="B68" s="2" t="str">
        <x:v>是非矩阵</x:v>
      </x:c>
      <x:c r="C68" s="13" t="str">
        <x:v>设置独立医保管理部门</x:v>
      </x:c>
      <x:c r="D68" s="2" t="str">
        <x:v>是</x:v>
      </x:c>
      <x:c r="E68" s="11" t="n">
        <x:v>151</x:v>
      </x:c>
      <x:c r="F68" s="11" t="n">
        <x:v>162</x:v>
      </x:c>
      <x:c r="G68" s="12" t="n">
        <x:f>IF(F68=0,"n.a.",E68/F68)</x:f>
        <x:v>0.9320987654320988</x:v>
      </x:c>
      <x:c r="H68" s="13" t="str">
        <x:v>子项有效答卷为分母</x:v>
      </x:c>
      <x:c r="I68" s="2" t="str">
        <x:v>数值版 Sheet1!Q2:U163</x:v>
      </x:c>
    </x:row>
    <x:row r="69" ht="30" customHeight="1">
      <x:c r="A69" s="2" t="str">
        <x:v>Q10</x:v>
      </x:c>
      <x:c r="B69" s="2" t="str">
        <x:v>是非矩阵</x:v>
      </x:c>
      <x:c r="C69" s="13" t="str">
        <x:v>设置独立医保管理部门</x:v>
      </x:c>
      <x:c r="D69" s="2" t="str">
        <x:v>否</x:v>
      </x:c>
      <x:c r="E69" s="11" t="n">
        <x:v>11</x:v>
      </x:c>
      <x:c r="F69" s="11" t="n">
        <x:v>162</x:v>
      </x:c>
      <x:c r="G69" s="12" t="n">
        <x:f>IF(F69=0,"n.a.",E69/F69)</x:f>
        <x:v>0.06790123456790123</x:v>
      </x:c>
      <x:c r="H69" s="13" t="str">
        <x:v>子项有效答卷为分母</x:v>
      </x:c>
      <x:c r="I69" s="2" t="str">
        <x:v>数值版 Sheet1!Q2:U163</x:v>
      </x:c>
    </x:row>
    <x:row r="70" ht="30" customHeight="1">
      <x:c r="A70" s="2" t="str">
        <x:v>Q10</x:v>
      </x:c>
      <x:c r="B70" s="2" t="str">
        <x:v>是非矩阵</x:v>
      </x:c>
      <x:c r="C70" s="13" t="str">
        <x:v>设置独立内部审计部门</x:v>
      </x:c>
      <x:c r="D70" s="2" t="str">
        <x:v>是</x:v>
      </x:c>
      <x:c r="E70" s="11" t="n">
        <x:v>150</x:v>
      </x:c>
      <x:c r="F70" s="11" t="n">
        <x:v>162</x:v>
      </x:c>
      <x:c r="G70" s="12" t="n">
        <x:f>IF(F70=0,"n.a.",E70/F70)</x:f>
        <x:v>0.9259259259259259</x:v>
      </x:c>
      <x:c r="H70" s="13" t="str">
        <x:v>子项有效答卷为分母</x:v>
      </x:c>
      <x:c r="I70" s="2" t="str">
        <x:v>数值版 Sheet1!Q2:U163</x:v>
      </x:c>
    </x:row>
    <x:row r="71" ht="30" customHeight="1">
      <x:c r="A71" s="2" t="str">
        <x:v>Q10</x:v>
      </x:c>
      <x:c r="B71" s="2" t="str">
        <x:v>是非矩阵</x:v>
      </x:c>
      <x:c r="C71" s="13" t="str">
        <x:v>设置独立内部审计部门</x:v>
      </x:c>
      <x:c r="D71" s="2" t="str">
        <x:v>否</x:v>
      </x:c>
      <x:c r="E71" s="11" t="n">
        <x:v>12</x:v>
      </x:c>
      <x:c r="F71" s="11" t="n">
        <x:v>162</x:v>
      </x:c>
      <x:c r="G71" s="12" t="n">
        <x:f>IF(F71=0,"n.a.",E71/F71)</x:f>
        <x:v>0.07407407407407407</x:v>
      </x:c>
      <x:c r="H71" s="13" t="str">
        <x:v>子项有效答卷为分母</x:v>
      </x:c>
      <x:c r="I71" s="2" t="str">
        <x:v>数值版 Sheet1!Q2:U163</x:v>
      </x:c>
    </x:row>
    <x:row r="72" ht="30" customHeight="1">
      <x:c r="A72" s="2" t="str">
        <x:v>Q10</x:v>
      </x:c>
      <x:c r="B72" s="2" t="str">
        <x:v>是非矩阵</x:v>
      </x:c>
      <x:c r="C72" s="13" t="str">
        <x:v>明确经济管理人员培养归口管理部门</x:v>
      </x:c>
      <x:c r="D72" s="2" t="str">
        <x:v>是</x:v>
      </x:c>
      <x:c r="E72" s="11" t="n">
        <x:v>76</x:v>
      </x:c>
      <x:c r="F72" s="11" t="n">
        <x:v>162</x:v>
      </x:c>
      <x:c r="G72" s="12" t="n">
        <x:f>IF(F72=0,"n.a.",E72/F72)</x:f>
        <x:v>0.4691358024691358</x:v>
      </x:c>
      <x:c r="H72" s="13" t="str">
        <x:v>子项有效答卷为分母</x:v>
      </x:c>
      <x:c r="I72" s="2" t="str">
        <x:v>数值版 Sheet1!Q2:U163</x:v>
      </x:c>
    </x:row>
    <x:row r="73" ht="30" customHeight="1">
      <x:c r="A73" s="2" t="str">
        <x:v>Q10</x:v>
      </x:c>
      <x:c r="B73" s="2" t="str">
        <x:v>是非矩阵</x:v>
      </x:c>
      <x:c r="C73" s="13" t="str">
        <x:v>明确经济管理人员培养归口管理部门</x:v>
      </x:c>
      <x:c r="D73" s="2" t="str">
        <x:v>否</x:v>
      </x:c>
      <x:c r="E73" s="11" t="n">
        <x:v>86</x:v>
      </x:c>
      <x:c r="F73" s="11" t="n">
        <x:v>162</x:v>
      </x:c>
      <x:c r="G73" s="12" t="n">
        <x:f>IF(F73=0,"n.a.",E73/F73)</x:f>
        <x:v>0.5308641975308642</x:v>
      </x:c>
      <x:c r="H73" s="13" t="str">
        <x:v>子项有效答卷为分母</x:v>
      </x:c>
      <x:c r="I73" s="2" t="str">
        <x:v>数值版 Sheet1!Q2:U163</x:v>
      </x:c>
    </x:row>
    <x:row r="74" ht="30" customHeight="1">
      <x:c r="A74" s="2" t="str">
        <x:v>Q11</x:v>
      </x:c>
      <x:c r="B74" s="2" t="str">
        <x:v>选填人数</x:v>
      </x:c>
      <x:c r="C74" s="13" t="str">
        <x:v>在岗总人数</x:v>
      </x:c>
      <x:c r="D74" s="2" t="str">
        <x:v>有效填报</x:v>
      </x:c>
      <x:c r="E74" s="11" t="n">
        <x:v>98</x:v>
      </x:c>
      <x:c r="F74" s="11" t="n">
        <x:v>162</x:v>
      </x:c>
      <x:c r="G74" s="12" t="n">
        <x:f>IF(F74=0,"n.a.",E74/F74)</x:f>
        <x:v>0.6049382716049383</x:v>
      </x:c>
      <x:c r="H74" s="13" t="str">
        <x:v>有效值须为非负整数；各列分别统计</x:v>
      </x:c>
      <x:c r="I74" s="2" t="str">
        <x:v>数值版 Sheet1!V2:AJ163</x:v>
      </x:c>
    </x:row>
    <x:row r="75" ht="30" customHeight="1">
      <x:c r="A75" s="2" t="str">
        <x:v>Q11</x:v>
      </x:c>
      <x:c r="B75" s="2" t="str">
        <x:v>选填人数</x:v>
      </x:c>
      <x:c r="C75" s="13" t="str">
        <x:v>在岗总人数</x:v>
      </x:c>
      <x:c r="D75" s="2" t="str">
        <x:v>空白</x:v>
      </x:c>
      <x:c r="E75" s="11" t="n">
        <x:v>62</x:v>
      </x:c>
      <x:c r="F75" s="11" t="n">
        <x:v>162</x:v>
      </x:c>
      <x:c r="G75" s="12" t="n">
        <x:f>IF(F75=0,"n.a.",E75/F75)</x:f>
        <x:v>0.38271604938271603</x:v>
      </x:c>
      <x:c r="H75" s="13" t="str">
        <x:v>有效值须为非负整数；各列分别统计</x:v>
      </x:c>
      <x:c r="I75" s="2" t="str">
        <x:v>数值版 Sheet1!V2:AJ163</x:v>
      </x:c>
    </x:row>
    <x:row r="76" ht="30" customHeight="1">
      <x:c r="A76" s="2" t="str">
        <x:v>Q11</x:v>
      </x:c>
      <x:c r="B76" s="2" t="str">
        <x:v>选填人数</x:v>
      </x:c>
      <x:c r="C76" s="13" t="str">
        <x:v>在岗总人数</x:v>
      </x:c>
      <x:c r="D76" s="2" t="str">
        <x:v>非空无效</x:v>
      </x:c>
      <x:c r="E76" s="11" t="n">
        <x:v>2</x:v>
      </x:c>
      <x:c r="F76" s="11" t="n">
        <x:v>162</x:v>
      </x:c>
      <x:c r="G76" s="12" t="n">
        <x:f>IF(F76=0,"n.a.",E76/F76)</x:f>
        <x:v>0.012345679012345678</x:v>
      </x:c>
      <x:c r="H76" s="13" t="str">
        <x:v>有效值须为非负整数；各列分别统计</x:v>
      </x:c>
      <x:c r="I76" s="2" t="str">
        <x:v>数值版 Sheet1!V2:AJ163</x:v>
      </x:c>
    </x:row>
    <x:row r="77" ht="30" customHeight="1">
      <x:c r="A77" s="2" t="str">
        <x:v>Q11</x:v>
      </x:c>
      <x:c r="B77" s="2" t="str">
        <x:v>选填人数</x:v>
      </x:c>
      <x:c r="C77" s="13" t="str">
        <x:v>学历：博士</x:v>
      </x:c>
      <x:c r="D77" s="2" t="str">
        <x:v>有效填报</x:v>
      </x:c>
      <x:c r="E77" s="11" t="n">
        <x:v>92</x:v>
      </x:c>
      <x:c r="F77" s="11" t="n">
        <x:v>162</x:v>
      </x:c>
      <x:c r="G77" s="12" t="n">
        <x:f>IF(F77=0,"n.a.",E77/F77)</x:f>
        <x:v>0.5679012345679012</x:v>
      </x:c>
      <x:c r="H77" s="13" t="str">
        <x:v>有效值须为非负整数；各列分别统计</x:v>
      </x:c>
      <x:c r="I77" s="2" t="str">
        <x:v>数值版 Sheet1!V2:AJ163</x:v>
      </x:c>
    </x:row>
    <x:row r="78" ht="30" customHeight="1">
      <x:c r="A78" s="2" t="str">
        <x:v>Q11</x:v>
      </x:c>
      <x:c r="B78" s="2" t="str">
        <x:v>选填人数</x:v>
      </x:c>
      <x:c r="C78" s="13" t="str">
        <x:v>学历：博士</x:v>
      </x:c>
      <x:c r="D78" s="2" t="str">
        <x:v>空白</x:v>
      </x:c>
      <x:c r="E78" s="11" t="n">
        <x:v>67</x:v>
      </x:c>
      <x:c r="F78" s="11" t="n">
        <x:v>162</x:v>
      </x:c>
      <x:c r="G78" s="12" t="n">
        <x:f>IF(F78=0,"n.a.",E78/F78)</x:f>
        <x:v>0.41358024691358025</x:v>
      </x:c>
      <x:c r="H78" s="13" t="str">
        <x:v>有效值须为非负整数；各列分别统计</x:v>
      </x:c>
      <x:c r="I78" s="2" t="str">
        <x:v>数值版 Sheet1!V2:AJ163</x:v>
      </x:c>
    </x:row>
    <x:row r="79" ht="30" customHeight="1">
      <x:c r="A79" s="2" t="str">
        <x:v>Q11</x:v>
      </x:c>
      <x:c r="B79" s="2" t="str">
        <x:v>选填人数</x:v>
      </x:c>
      <x:c r="C79" s="13" t="str">
        <x:v>学历：博士</x:v>
      </x:c>
      <x:c r="D79" s="2" t="str">
        <x:v>非空无效</x:v>
      </x:c>
      <x:c r="E79" s="11" t="n">
        <x:v>3</x:v>
      </x:c>
      <x:c r="F79" s="11" t="n">
        <x:v>162</x:v>
      </x:c>
      <x:c r="G79" s="12" t="n">
        <x:f>IF(F79=0,"n.a.",E79/F79)</x:f>
        <x:v>0.018518518518518517</x:v>
      </x:c>
      <x:c r="H79" s="13" t="str">
        <x:v>有效值须为非负整数；各列分别统计</x:v>
      </x:c>
      <x:c r="I79" s="2" t="str">
        <x:v>数值版 Sheet1!V2:AJ163</x:v>
      </x:c>
    </x:row>
    <x:row r="80" ht="30" customHeight="1">
      <x:c r="A80" s="2" t="str">
        <x:v>Q11</x:v>
      </x:c>
      <x:c r="B80" s="2" t="str">
        <x:v>选填人数</x:v>
      </x:c>
      <x:c r="C80" s="13" t="str">
        <x:v>学历：硕士</x:v>
      </x:c>
      <x:c r="D80" s="2" t="str">
        <x:v>有效填报</x:v>
      </x:c>
      <x:c r="E80" s="11" t="n">
        <x:v>90</x:v>
      </x:c>
      <x:c r="F80" s="11" t="n">
        <x:v>162</x:v>
      </x:c>
      <x:c r="G80" s="12" t="n">
        <x:f>IF(F80=0,"n.a.",E80/F80)</x:f>
        <x:v>0.5555555555555556</x:v>
      </x:c>
      <x:c r="H80" s="13" t="str">
        <x:v>有效值须为非负整数；各列分别统计</x:v>
      </x:c>
      <x:c r="I80" s="2" t="str">
        <x:v>数值版 Sheet1!V2:AJ163</x:v>
      </x:c>
    </x:row>
    <x:row r="81" ht="30" customHeight="1">
      <x:c r="A81" s="2" t="str">
        <x:v>Q11</x:v>
      </x:c>
      <x:c r="B81" s="2" t="str">
        <x:v>选填人数</x:v>
      </x:c>
      <x:c r="C81" s="13" t="str">
        <x:v>学历：硕士</x:v>
      </x:c>
      <x:c r="D81" s="2" t="str">
        <x:v>空白</x:v>
      </x:c>
      <x:c r="E81" s="11" t="n">
        <x:v>70</x:v>
      </x:c>
      <x:c r="F81" s="11" t="n">
        <x:v>162</x:v>
      </x:c>
      <x:c r="G81" s="12" t="n">
        <x:f>IF(F81=0,"n.a.",E81/F81)</x:f>
        <x:v>0.43209876543209874</x:v>
      </x:c>
      <x:c r="H81" s="13" t="str">
        <x:v>有效值须为非负整数；各列分别统计</x:v>
      </x:c>
      <x:c r="I81" s="2" t="str">
        <x:v>数值版 Sheet1!V2:AJ163</x:v>
      </x:c>
    </x:row>
    <x:row r="82" ht="30" customHeight="1">
      <x:c r="A82" s="2" t="str">
        <x:v>Q11</x:v>
      </x:c>
      <x:c r="B82" s="2" t="str">
        <x:v>选填人数</x:v>
      </x:c>
      <x:c r="C82" s="13" t="str">
        <x:v>学历：硕士</x:v>
      </x:c>
      <x:c r="D82" s="2" t="str">
        <x:v>非空无效</x:v>
      </x:c>
      <x:c r="E82" s="11" t="n">
        <x:v>2</x:v>
      </x:c>
      <x:c r="F82" s="11" t="n">
        <x:v>162</x:v>
      </x:c>
      <x:c r="G82" s="12" t="n">
        <x:f>IF(F82=0,"n.a.",E82/F82)</x:f>
        <x:v>0.012345679012345678</x:v>
      </x:c>
      <x:c r="H82" s="13" t="str">
        <x:v>有效值须为非负整数；各列分别统计</x:v>
      </x:c>
      <x:c r="I82" s="2" t="str">
        <x:v>数值版 Sheet1!V2:AJ163</x:v>
      </x:c>
    </x:row>
    <x:row r="83" ht="30" customHeight="1">
      <x:c r="A83" s="2" t="str">
        <x:v>Q11</x:v>
      </x:c>
      <x:c r="B83" s="2" t="str">
        <x:v>选填人数</x:v>
      </x:c>
      <x:c r="C83" s="13" t="str">
        <x:v>学历：本科</x:v>
      </x:c>
      <x:c r="D83" s="2" t="str">
        <x:v>有效填报</x:v>
      </x:c>
      <x:c r="E83" s="11" t="n">
        <x:v>91</x:v>
      </x:c>
      <x:c r="F83" s="11" t="n">
        <x:v>162</x:v>
      </x:c>
      <x:c r="G83" s="12" t="n">
        <x:f>IF(F83=0,"n.a.",E83/F83)</x:f>
        <x:v>0.5617283950617284</x:v>
      </x:c>
      <x:c r="H83" s="13" t="str">
        <x:v>有效值须为非负整数；各列分别统计</x:v>
      </x:c>
      <x:c r="I83" s="2" t="str">
        <x:v>数值版 Sheet1!V2:AJ163</x:v>
      </x:c>
    </x:row>
    <x:row r="84" ht="30" customHeight="1">
      <x:c r="A84" s="2" t="str">
        <x:v>Q11</x:v>
      </x:c>
      <x:c r="B84" s="2" t="str">
        <x:v>选填人数</x:v>
      </x:c>
      <x:c r="C84" s="13" t="str">
        <x:v>学历：本科</x:v>
      </x:c>
      <x:c r="D84" s="2" t="str">
        <x:v>空白</x:v>
      </x:c>
      <x:c r="E84" s="11" t="n">
        <x:v>69</x:v>
      </x:c>
      <x:c r="F84" s="11" t="n">
        <x:v>162</x:v>
      </x:c>
      <x:c r="G84" s="12" t="n">
        <x:f>IF(F84=0,"n.a.",E84/F84)</x:f>
        <x:v>0.42592592592592593</x:v>
      </x:c>
      <x:c r="H84" s="13" t="str">
        <x:v>有效值须为非负整数；各列分别统计</x:v>
      </x:c>
      <x:c r="I84" s="2" t="str">
        <x:v>数值版 Sheet1!V2:AJ163</x:v>
      </x:c>
    </x:row>
    <x:row r="85" ht="30" customHeight="1">
      <x:c r="A85" s="2" t="str">
        <x:v>Q11</x:v>
      </x:c>
      <x:c r="B85" s="2" t="str">
        <x:v>选填人数</x:v>
      </x:c>
      <x:c r="C85" s="13" t="str">
        <x:v>学历：本科</x:v>
      </x:c>
      <x:c r="D85" s="2" t="str">
        <x:v>非空无效</x:v>
      </x:c>
      <x:c r="E85" s="11" t="n">
        <x:v>2</x:v>
      </x:c>
      <x:c r="F85" s="11" t="n">
        <x:v>162</x:v>
      </x:c>
      <x:c r="G85" s="12" t="n">
        <x:f>IF(F85=0,"n.a.",E85/F85)</x:f>
        <x:v>0.012345679012345678</x:v>
      </x:c>
      <x:c r="H85" s="13" t="str">
        <x:v>有效值须为非负整数；各列分别统计</x:v>
      </x:c>
      <x:c r="I85" s="2" t="str">
        <x:v>数值版 Sheet1!V2:AJ163</x:v>
      </x:c>
    </x:row>
    <x:row r="86" ht="30" customHeight="1">
      <x:c r="A86" s="2" t="str">
        <x:v>Q11</x:v>
      </x:c>
      <x:c r="B86" s="2" t="str">
        <x:v>选填人数</x:v>
      </x:c>
      <x:c r="C86" s="13" t="str">
        <x:v>学历：大专及以下</x:v>
      </x:c>
      <x:c r="D86" s="2" t="str">
        <x:v>有效填报</x:v>
      </x:c>
      <x:c r="E86" s="11" t="n">
        <x:v>88</x:v>
      </x:c>
      <x:c r="F86" s="11" t="n">
        <x:v>162</x:v>
      </x:c>
      <x:c r="G86" s="12" t="n">
        <x:f>IF(F86=0,"n.a.",E86/F86)</x:f>
        <x:v>0.5432098765432098</x:v>
      </x:c>
      <x:c r="H86" s="13" t="str">
        <x:v>有效值须为非负整数；各列分别统计</x:v>
      </x:c>
      <x:c r="I86" s="2" t="str">
        <x:v>数值版 Sheet1!V2:AJ163</x:v>
      </x:c>
    </x:row>
    <x:row r="87" ht="30" customHeight="1">
      <x:c r="A87" s="2" t="str">
        <x:v>Q11</x:v>
      </x:c>
      <x:c r="B87" s="2" t="str">
        <x:v>选填人数</x:v>
      </x:c>
      <x:c r="C87" s="13" t="str">
        <x:v>学历：大专及以下</x:v>
      </x:c>
      <x:c r="D87" s="2" t="str">
        <x:v>空白</x:v>
      </x:c>
      <x:c r="E87" s="11" t="n">
        <x:v>72</x:v>
      </x:c>
      <x:c r="F87" s="11" t="n">
        <x:v>162</x:v>
      </x:c>
      <x:c r="G87" s="12" t="n">
        <x:f>IF(F87=0,"n.a.",E87/F87)</x:f>
        <x:v>0.4444444444444444</x:v>
      </x:c>
      <x:c r="H87" s="13" t="str">
        <x:v>有效值须为非负整数；各列分别统计</x:v>
      </x:c>
      <x:c r="I87" s="2" t="str">
        <x:v>数值版 Sheet1!V2:AJ163</x:v>
      </x:c>
    </x:row>
    <x:row r="88" ht="30" customHeight="1">
      <x:c r="A88" s="2" t="str">
        <x:v>Q11</x:v>
      </x:c>
      <x:c r="B88" s="2" t="str">
        <x:v>选填人数</x:v>
      </x:c>
      <x:c r="C88" s="13" t="str">
        <x:v>学历：大专及以下</x:v>
      </x:c>
      <x:c r="D88" s="2" t="str">
        <x:v>非空无效</x:v>
      </x:c>
      <x:c r="E88" s="11" t="n">
        <x:v>2</x:v>
      </x:c>
      <x:c r="F88" s="11" t="n">
        <x:v>162</x:v>
      </x:c>
      <x:c r="G88" s="12" t="n">
        <x:f>IF(F88=0,"n.a.",E88/F88)</x:f>
        <x:v>0.012345679012345678</x:v>
      </x:c>
      <x:c r="H88" s="13" t="str">
        <x:v>有效值须为非负整数；各列分别统计</x:v>
      </x:c>
      <x:c r="I88" s="2" t="str">
        <x:v>数值版 Sheet1!V2:AJ163</x:v>
      </x:c>
    </x:row>
    <x:row r="89" ht="30" customHeight="1">
      <x:c r="A89" s="2" t="str">
        <x:v>Q11</x:v>
      </x:c>
      <x:c r="B89" s="2" t="str">
        <x:v>选填人数</x:v>
      </x:c>
      <x:c r="C89" s="13" t="str">
        <x:v>职称：正高级</x:v>
      </x:c>
      <x:c r="D89" s="2" t="str">
        <x:v>有效填报</x:v>
      </x:c>
      <x:c r="E89" s="11" t="n">
        <x:v>90</x:v>
      </x:c>
      <x:c r="F89" s="11" t="n">
        <x:v>162</x:v>
      </x:c>
      <x:c r="G89" s="12" t="n">
        <x:f>IF(F89=0,"n.a.",E89/F89)</x:f>
        <x:v>0.5555555555555556</x:v>
      </x:c>
      <x:c r="H89" s="13" t="str">
        <x:v>有效值须为非负整数；各列分别统计</x:v>
      </x:c>
      <x:c r="I89" s="2" t="str">
        <x:v>数值版 Sheet1!V2:AJ163</x:v>
      </x:c>
    </x:row>
    <x:row r="90" ht="30" customHeight="1">
      <x:c r="A90" s="2" t="str">
        <x:v>Q11</x:v>
      </x:c>
      <x:c r="B90" s="2" t="str">
        <x:v>选填人数</x:v>
      </x:c>
      <x:c r="C90" s="13" t="str">
        <x:v>职称：正高级</x:v>
      </x:c>
      <x:c r="D90" s="2" t="str">
        <x:v>空白</x:v>
      </x:c>
      <x:c r="E90" s="11" t="n">
        <x:v>70</x:v>
      </x:c>
      <x:c r="F90" s="11" t="n">
        <x:v>162</x:v>
      </x:c>
      <x:c r="G90" s="12" t="n">
        <x:f>IF(F90=0,"n.a.",E90/F90)</x:f>
        <x:v>0.43209876543209874</x:v>
      </x:c>
      <x:c r="H90" s="13" t="str">
        <x:v>有效值须为非负整数；各列分别统计</x:v>
      </x:c>
      <x:c r="I90" s="2" t="str">
        <x:v>数值版 Sheet1!V2:AJ163</x:v>
      </x:c>
    </x:row>
    <x:row r="91" ht="30" customHeight="1">
      <x:c r="A91" s="2" t="str">
        <x:v>Q11</x:v>
      </x:c>
      <x:c r="B91" s="2" t="str">
        <x:v>选填人数</x:v>
      </x:c>
      <x:c r="C91" s="13" t="str">
        <x:v>职称：正高级</x:v>
      </x:c>
      <x:c r="D91" s="2" t="str">
        <x:v>非空无效</x:v>
      </x:c>
      <x:c r="E91" s="11" t="n">
        <x:v>2</x:v>
      </x:c>
      <x:c r="F91" s="11" t="n">
        <x:v>162</x:v>
      </x:c>
      <x:c r="G91" s="12" t="n">
        <x:f>IF(F91=0,"n.a.",E91/F91)</x:f>
        <x:v>0.012345679012345678</x:v>
      </x:c>
      <x:c r="H91" s="13" t="str">
        <x:v>有效值须为非负整数；各列分别统计</x:v>
      </x:c>
      <x:c r="I91" s="2" t="str">
        <x:v>数值版 Sheet1!V2:AJ163</x:v>
      </x:c>
    </x:row>
    <x:row r="92" ht="30" customHeight="1">
      <x:c r="A92" s="2" t="str">
        <x:v>Q11</x:v>
      </x:c>
      <x:c r="B92" s="2" t="str">
        <x:v>选填人数</x:v>
      </x:c>
      <x:c r="C92" s="13" t="str">
        <x:v>职称：副高级</x:v>
      </x:c>
      <x:c r="D92" s="2" t="str">
        <x:v>有效填报</x:v>
      </x:c>
      <x:c r="E92" s="11" t="n">
        <x:v>91</x:v>
      </x:c>
      <x:c r="F92" s="11" t="n">
        <x:v>162</x:v>
      </x:c>
      <x:c r="G92" s="12" t="n">
        <x:f>IF(F92=0,"n.a.",E92/F92)</x:f>
        <x:v>0.5617283950617284</x:v>
      </x:c>
      <x:c r="H92" s="13" t="str">
        <x:v>有效值须为非负整数；各列分别统计</x:v>
      </x:c>
      <x:c r="I92" s="2" t="str">
        <x:v>数值版 Sheet1!V2:AJ163</x:v>
      </x:c>
    </x:row>
    <x:row r="93" ht="30" customHeight="1">
      <x:c r="A93" s="2" t="str">
        <x:v>Q11</x:v>
      </x:c>
      <x:c r="B93" s="2" t="str">
        <x:v>选填人数</x:v>
      </x:c>
      <x:c r="C93" s="13" t="str">
        <x:v>职称：副高级</x:v>
      </x:c>
      <x:c r="D93" s="2" t="str">
        <x:v>空白</x:v>
      </x:c>
      <x:c r="E93" s="11" t="n">
        <x:v>69</x:v>
      </x:c>
      <x:c r="F93" s="11" t="n">
        <x:v>162</x:v>
      </x:c>
      <x:c r="G93" s="12" t="n">
        <x:f>IF(F93=0,"n.a.",E93/F93)</x:f>
        <x:v>0.42592592592592593</x:v>
      </x:c>
      <x:c r="H93" s="13" t="str">
        <x:v>有效值须为非负整数；各列分别统计</x:v>
      </x:c>
      <x:c r="I93" s="2" t="str">
        <x:v>数值版 Sheet1!V2:AJ163</x:v>
      </x:c>
    </x:row>
    <x:row r="94" ht="30" customHeight="1">
      <x:c r="A94" s="2" t="str">
        <x:v>Q11</x:v>
      </x:c>
      <x:c r="B94" s="2" t="str">
        <x:v>选填人数</x:v>
      </x:c>
      <x:c r="C94" s="13" t="str">
        <x:v>职称：副高级</x:v>
      </x:c>
      <x:c r="D94" s="2" t="str">
        <x:v>非空无效</x:v>
      </x:c>
      <x:c r="E94" s="11" t="n">
        <x:v>2</x:v>
      </x:c>
      <x:c r="F94" s="11" t="n">
        <x:v>162</x:v>
      </x:c>
      <x:c r="G94" s="12" t="n">
        <x:f>IF(F94=0,"n.a.",E94/F94)</x:f>
        <x:v>0.012345679012345678</x:v>
      </x:c>
      <x:c r="H94" s="13" t="str">
        <x:v>有效值须为非负整数；各列分别统计</x:v>
      </x:c>
      <x:c r="I94" s="2" t="str">
        <x:v>数值版 Sheet1!V2:AJ163</x:v>
      </x:c>
    </x:row>
    <x:row r="95" ht="30" customHeight="1">
      <x:c r="A95" s="2" t="str">
        <x:v>Q11</x:v>
      </x:c>
      <x:c r="B95" s="2" t="str">
        <x:v>选填人数</x:v>
      </x:c>
      <x:c r="C95" s="13" t="str">
        <x:v>职称：中级</x:v>
      </x:c>
      <x:c r="D95" s="2" t="str">
        <x:v>有效填报</x:v>
      </x:c>
      <x:c r="E95" s="11" t="n">
        <x:v>88</x:v>
      </x:c>
      <x:c r="F95" s="11" t="n">
        <x:v>162</x:v>
      </x:c>
      <x:c r="G95" s="12" t="n">
        <x:f>IF(F95=0,"n.a.",E95/F95)</x:f>
        <x:v>0.5432098765432098</x:v>
      </x:c>
      <x:c r="H95" s="13" t="str">
        <x:v>有效值须为非负整数；各列分别统计</x:v>
      </x:c>
      <x:c r="I95" s="2" t="str">
        <x:v>数值版 Sheet1!V2:AJ163</x:v>
      </x:c>
    </x:row>
    <x:row r="96" ht="30" customHeight="1">
      <x:c r="A96" s="2" t="str">
        <x:v>Q11</x:v>
      </x:c>
      <x:c r="B96" s="2" t="str">
        <x:v>选填人数</x:v>
      </x:c>
      <x:c r="C96" s="13" t="str">
        <x:v>职称：中级</x:v>
      </x:c>
      <x:c r="D96" s="2" t="str">
        <x:v>空白</x:v>
      </x:c>
      <x:c r="E96" s="11" t="n">
        <x:v>72</x:v>
      </x:c>
      <x:c r="F96" s="11" t="n">
        <x:v>162</x:v>
      </x:c>
      <x:c r="G96" s="12" t="n">
        <x:f>IF(F96=0,"n.a.",E96/F96)</x:f>
        <x:v>0.4444444444444444</x:v>
      </x:c>
      <x:c r="H96" s="13" t="str">
        <x:v>有效值须为非负整数；各列分别统计</x:v>
      </x:c>
      <x:c r="I96" s="2" t="str">
        <x:v>数值版 Sheet1!V2:AJ163</x:v>
      </x:c>
    </x:row>
    <x:row r="97" ht="30" customHeight="1">
      <x:c r="A97" s="2" t="str">
        <x:v>Q11</x:v>
      </x:c>
      <x:c r="B97" s="2" t="str">
        <x:v>选填人数</x:v>
      </x:c>
      <x:c r="C97" s="13" t="str">
        <x:v>职称：中级</x:v>
      </x:c>
      <x:c r="D97" s="2" t="str">
        <x:v>非空无效</x:v>
      </x:c>
      <x:c r="E97" s="11" t="n">
        <x:v>2</x:v>
      </x:c>
      <x:c r="F97" s="11" t="n">
        <x:v>162</x:v>
      </x:c>
      <x:c r="G97" s="12" t="n">
        <x:f>IF(F97=0,"n.a.",E97/F97)</x:f>
        <x:v>0.012345679012345678</x:v>
      </x:c>
      <x:c r="H97" s="13" t="str">
        <x:v>有效值须为非负整数；各列分别统计</x:v>
      </x:c>
      <x:c r="I97" s="2" t="str">
        <x:v>数值版 Sheet1!V2:AJ163</x:v>
      </x:c>
    </x:row>
    <x:row r="98" ht="30" customHeight="1">
      <x:c r="A98" s="2" t="str">
        <x:v>Q11</x:v>
      </x:c>
      <x:c r="B98" s="2" t="str">
        <x:v>选填人数</x:v>
      </x:c>
      <x:c r="C98" s="13" t="str">
        <x:v>职称：初级及以下</x:v>
      </x:c>
      <x:c r="D98" s="2" t="str">
        <x:v>有效填报</x:v>
      </x:c>
      <x:c r="E98" s="11" t="n">
        <x:v>89</x:v>
      </x:c>
      <x:c r="F98" s="11" t="n">
        <x:v>162</x:v>
      </x:c>
      <x:c r="G98" s="12" t="n">
        <x:f>IF(F98=0,"n.a.",E98/F98)</x:f>
        <x:v>0.5493827160493827</x:v>
      </x:c>
      <x:c r="H98" s="13" t="str">
        <x:v>有效值须为非负整数；各列分别统计</x:v>
      </x:c>
      <x:c r="I98" s="2" t="str">
        <x:v>数值版 Sheet1!V2:AJ163</x:v>
      </x:c>
    </x:row>
    <x:row r="99" ht="30" customHeight="1">
      <x:c r="A99" s="2" t="str">
        <x:v>Q11</x:v>
      </x:c>
      <x:c r="B99" s="2" t="str">
        <x:v>选填人数</x:v>
      </x:c>
      <x:c r="C99" s="13" t="str">
        <x:v>职称：初级及以下</x:v>
      </x:c>
      <x:c r="D99" s="2" t="str">
        <x:v>空白</x:v>
      </x:c>
      <x:c r="E99" s="11" t="n">
        <x:v>71</x:v>
      </x:c>
      <x:c r="F99" s="11" t="n">
        <x:v>162</x:v>
      </x:c>
      <x:c r="G99" s="12" t="n">
        <x:f>IF(F99=0,"n.a.",E99/F99)</x:f>
        <x:v>0.4382716049382716</x:v>
      </x:c>
      <x:c r="H99" s="13" t="str">
        <x:v>有效值须为非负整数；各列分别统计</x:v>
      </x:c>
      <x:c r="I99" s="2" t="str">
        <x:v>数值版 Sheet1!V2:AJ163</x:v>
      </x:c>
    </x:row>
    <x:row r="100" ht="30" customHeight="1">
      <x:c r="A100" s="2" t="str">
        <x:v>Q11</x:v>
      </x:c>
      <x:c r="B100" s="2" t="str">
        <x:v>选填人数</x:v>
      </x:c>
      <x:c r="C100" s="13" t="str">
        <x:v>职称：初级及以下</x:v>
      </x:c>
      <x:c r="D100" s="2" t="str">
        <x:v>非空无效</x:v>
      </x:c>
      <x:c r="E100" s="11" t="n">
        <x:v>2</x:v>
      </x:c>
      <x:c r="F100" s="11" t="n">
        <x:v>162</x:v>
      </x:c>
      <x:c r="G100" s="12" t="n">
        <x:f>IF(F100=0,"n.a.",E100/F100)</x:f>
        <x:v>0.012345679012345678</x:v>
      </x:c>
      <x:c r="H100" s="13" t="str">
        <x:v>有效值须为非负整数；各列分别统计</x:v>
      </x:c>
      <x:c r="I100" s="2" t="str">
        <x:v>数值版 Sheet1!V2:AJ163</x:v>
      </x:c>
    </x:row>
    <x:row r="101" ht="30" customHeight="1">
      <x:c r="A101" s="2" t="str">
        <x:v>Q11</x:v>
      </x:c>
      <x:c r="B101" s="2" t="str">
        <x:v>选填人数</x:v>
      </x:c>
      <x:c r="C101" s="13" t="str">
        <x:v>专业：财会审计类</x:v>
      </x:c>
      <x:c r="D101" s="2" t="str">
        <x:v>有效填报</x:v>
      </x:c>
      <x:c r="E101" s="11" t="n">
        <x:v>91</x:v>
      </x:c>
      <x:c r="F101" s="11" t="n">
        <x:v>162</x:v>
      </x:c>
      <x:c r="G101" s="12" t="n">
        <x:f>IF(F101=0,"n.a.",E101/F101)</x:f>
        <x:v>0.5617283950617284</x:v>
      </x:c>
      <x:c r="H101" s="13" t="str">
        <x:v>有效值须为非负整数；各列分别统计</x:v>
      </x:c>
      <x:c r="I101" s="2" t="str">
        <x:v>数值版 Sheet1!V2:AJ163</x:v>
      </x:c>
    </x:row>
    <x:row r="102" ht="30" customHeight="1">
      <x:c r="A102" s="2" t="str">
        <x:v>Q11</x:v>
      </x:c>
      <x:c r="B102" s="2" t="str">
        <x:v>选填人数</x:v>
      </x:c>
      <x:c r="C102" s="13" t="str">
        <x:v>专业：财会审计类</x:v>
      </x:c>
      <x:c r="D102" s="2" t="str">
        <x:v>空白</x:v>
      </x:c>
      <x:c r="E102" s="11" t="n">
        <x:v>69</x:v>
      </x:c>
      <x:c r="F102" s="11" t="n">
        <x:v>162</x:v>
      </x:c>
      <x:c r="G102" s="12" t="n">
        <x:f>IF(F102=0,"n.a.",E102/F102)</x:f>
        <x:v>0.42592592592592593</x:v>
      </x:c>
      <x:c r="H102" s="13" t="str">
        <x:v>有效值须为非负整数；各列分别统计</x:v>
      </x:c>
      <x:c r="I102" s="2" t="str">
        <x:v>数值版 Sheet1!V2:AJ163</x:v>
      </x:c>
    </x:row>
    <x:row r="103" ht="30" customHeight="1">
      <x:c r="A103" s="2" t="str">
        <x:v>Q11</x:v>
      </x:c>
      <x:c r="B103" s="2" t="str">
        <x:v>选填人数</x:v>
      </x:c>
      <x:c r="C103" s="13" t="str">
        <x:v>专业：财会审计类</x:v>
      </x:c>
      <x:c r="D103" s="2" t="str">
        <x:v>非空无效</x:v>
      </x:c>
      <x:c r="E103" s="11" t="n">
        <x:v>2</x:v>
      </x:c>
      <x:c r="F103" s="11" t="n">
        <x:v>162</x:v>
      </x:c>
      <x:c r="G103" s="12" t="n">
        <x:f>IF(F103=0,"n.a.",E103/F103)</x:f>
        <x:v>0.012345679012345678</x:v>
      </x:c>
      <x:c r="H103" s="13" t="str">
        <x:v>有效值须为非负整数；各列分别统计</x:v>
      </x:c>
      <x:c r="I103" s="2" t="str">
        <x:v>数值版 Sheet1!V2:AJ163</x:v>
      </x:c>
    </x:row>
    <x:row r="104" ht="30" customHeight="1">
      <x:c r="A104" s="2" t="str">
        <x:v>Q11</x:v>
      </x:c>
      <x:c r="B104" s="2" t="str">
        <x:v>选填人数</x:v>
      </x:c>
      <x:c r="C104" s="13" t="str">
        <x:v>专业：医疗/护理类</x:v>
      </x:c>
      <x:c r="D104" s="2" t="str">
        <x:v>有效填报</x:v>
      </x:c>
      <x:c r="E104" s="11" t="n">
        <x:v>85</x:v>
      </x:c>
      <x:c r="F104" s="11" t="n">
        <x:v>162</x:v>
      </x:c>
      <x:c r="G104" s="12" t="n">
        <x:f>IF(F104=0,"n.a.",E104/F104)</x:f>
        <x:v>0.5246913580246914</x:v>
      </x:c>
      <x:c r="H104" s="13" t="str">
        <x:v>有效值须为非负整数；各列分别统计</x:v>
      </x:c>
      <x:c r="I104" s="2" t="str">
        <x:v>数值版 Sheet1!V2:AJ163</x:v>
      </x:c>
    </x:row>
    <x:row r="105" ht="30" customHeight="1">
      <x:c r="A105" s="2" t="str">
        <x:v>Q11</x:v>
      </x:c>
      <x:c r="B105" s="2" t="str">
        <x:v>选填人数</x:v>
      </x:c>
      <x:c r="C105" s="13" t="str">
        <x:v>专业：医疗/护理类</x:v>
      </x:c>
      <x:c r="D105" s="2" t="str">
        <x:v>空白</x:v>
      </x:c>
      <x:c r="E105" s="11" t="n">
        <x:v>75</x:v>
      </x:c>
      <x:c r="F105" s="11" t="n">
        <x:v>162</x:v>
      </x:c>
      <x:c r="G105" s="12" t="n">
        <x:f>IF(F105=0,"n.a.",E105/F105)</x:f>
        <x:v>0.46296296296296297</x:v>
      </x:c>
      <x:c r="H105" s="13" t="str">
        <x:v>有效值须为非负整数；各列分别统计</x:v>
      </x:c>
      <x:c r="I105" s="2" t="str">
        <x:v>数值版 Sheet1!V2:AJ163</x:v>
      </x:c>
    </x:row>
    <x:row r="106" ht="30" customHeight="1">
      <x:c r="A106" s="2" t="str">
        <x:v>Q11</x:v>
      </x:c>
      <x:c r="B106" s="2" t="str">
        <x:v>选填人数</x:v>
      </x:c>
      <x:c r="C106" s="13" t="str">
        <x:v>专业：医疗/护理类</x:v>
      </x:c>
      <x:c r="D106" s="2" t="str">
        <x:v>非空无效</x:v>
      </x:c>
      <x:c r="E106" s="11" t="n">
        <x:v>2</x:v>
      </x:c>
      <x:c r="F106" s="11" t="n">
        <x:v>162</x:v>
      </x:c>
      <x:c r="G106" s="12" t="n">
        <x:f>IF(F106=0,"n.a.",E106/F106)</x:f>
        <x:v>0.012345679012345678</x:v>
      </x:c>
      <x:c r="H106" s="13" t="str">
        <x:v>有效值须为非负整数；各列分别统计</x:v>
      </x:c>
      <x:c r="I106" s="2" t="str">
        <x:v>数值版 Sheet1!V2:AJ163</x:v>
      </x:c>
    </x:row>
    <x:row r="107" ht="30" customHeight="1">
      <x:c r="A107" s="2" t="str">
        <x:v>Q11</x:v>
      </x:c>
      <x:c r="B107" s="2" t="str">
        <x:v>选填人数</x:v>
      </x:c>
      <x:c r="C107" s="13" t="str">
        <x:v>专业：卫生管理类</x:v>
      </x:c>
      <x:c r="D107" s="2" t="str">
        <x:v>有效填报</x:v>
      </x:c>
      <x:c r="E107" s="11" t="n">
        <x:v>84</x:v>
      </x:c>
      <x:c r="F107" s="11" t="n">
        <x:v>162</x:v>
      </x:c>
      <x:c r="G107" s="12" t="n">
        <x:f>IF(F107=0,"n.a.",E107/F107)</x:f>
        <x:v>0.5185185185185185</x:v>
      </x:c>
      <x:c r="H107" s="13" t="str">
        <x:v>有效值须为非负整数；各列分别统计</x:v>
      </x:c>
      <x:c r="I107" s="2" t="str">
        <x:v>数值版 Sheet1!V2:AJ163</x:v>
      </x:c>
    </x:row>
    <x:row r="108" ht="30" customHeight="1">
      <x:c r="A108" s="2" t="str">
        <x:v>Q11</x:v>
      </x:c>
      <x:c r="B108" s="2" t="str">
        <x:v>选填人数</x:v>
      </x:c>
      <x:c r="C108" s="13" t="str">
        <x:v>专业：卫生管理类</x:v>
      </x:c>
      <x:c r="D108" s="2" t="str">
        <x:v>空白</x:v>
      </x:c>
      <x:c r="E108" s="11" t="n">
        <x:v>76</x:v>
      </x:c>
      <x:c r="F108" s="11" t="n">
        <x:v>162</x:v>
      </x:c>
      <x:c r="G108" s="12" t="n">
        <x:f>IF(F108=0,"n.a.",E108/F108)</x:f>
        <x:v>0.4691358024691358</x:v>
      </x:c>
      <x:c r="H108" s="13" t="str">
        <x:v>有效值须为非负整数；各列分别统计</x:v>
      </x:c>
      <x:c r="I108" s="2" t="str">
        <x:v>数值版 Sheet1!V2:AJ163</x:v>
      </x:c>
    </x:row>
    <x:row r="109" ht="30" customHeight="1">
      <x:c r="A109" s="2" t="str">
        <x:v>Q11</x:v>
      </x:c>
      <x:c r="B109" s="2" t="str">
        <x:v>选填人数</x:v>
      </x:c>
      <x:c r="C109" s="13" t="str">
        <x:v>专业：卫生管理类</x:v>
      </x:c>
      <x:c r="D109" s="2" t="str">
        <x:v>非空无效</x:v>
      </x:c>
      <x:c r="E109" s="11" t="n">
        <x:v>2</x:v>
      </x:c>
      <x:c r="F109" s="11" t="n">
        <x:v>162</x:v>
      </x:c>
      <x:c r="G109" s="12" t="n">
        <x:f>IF(F109=0,"n.a.",E109/F109)</x:f>
        <x:v>0.012345679012345678</x:v>
      </x:c>
      <x:c r="H109" s="13" t="str">
        <x:v>有效值须为非负整数；各列分别统计</x:v>
      </x:c>
      <x:c r="I109" s="2" t="str">
        <x:v>数值版 Sheet1!V2:AJ163</x:v>
      </x:c>
    </x:row>
    <x:row r="110" ht="30" customHeight="1">
      <x:c r="A110" s="2" t="str">
        <x:v>Q11</x:v>
      </x:c>
      <x:c r="B110" s="2" t="str">
        <x:v>选填人数</x:v>
      </x:c>
      <x:c r="C110" s="13" t="str">
        <x:v>专业：信息技术类</x:v>
      </x:c>
      <x:c r="D110" s="2" t="str">
        <x:v>有效填报</x:v>
      </x:c>
      <x:c r="E110" s="11" t="n">
        <x:v>84</x:v>
      </x:c>
      <x:c r="F110" s="11" t="n">
        <x:v>162</x:v>
      </x:c>
      <x:c r="G110" s="12" t="n">
        <x:f>IF(F110=0,"n.a.",E110/F110)</x:f>
        <x:v>0.5185185185185185</x:v>
      </x:c>
      <x:c r="H110" s="13" t="str">
        <x:v>有效值须为非负整数；各列分别统计</x:v>
      </x:c>
      <x:c r="I110" s="2" t="str">
        <x:v>数值版 Sheet1!V2:AJ163</x:v>
      </x:c>
    </x:row>
    <x:row r="111" ht="30" customHeight="1">
      <x:c r="A111" s="2" t="str">
        <x:v>Q11</x:v>
      </x:c>
      <x:c r="B111" s="2" t="str">
        <x:v>选填人数</x:v>
      </x:c>
      <x:c r="C111" s="13" t="str">
        <x:v>专业：信息技术类</x:v>
      </x:c>
      <x:c r="D111" s="2" t="str">
        <x:v>空白</x:v>
      </x:c>
      <x:c r="E111" s="11" t="n">
        <x:v>76</x:v>
      </x:c>
      <x:c r="F111" s="11" t="n">
        <x:v>162</x:v>
      </x:c>
      <x:c r="G111" s="12" t="n">
        <x:f>IF(F111=0,"n.a.",E111/F111)</x:f>
        <x:v>0.4691358024691358</x:v>
      </x:c>
      <x:c r="H111" s="13" t="str">
        <x:v>有效值须为非负整数；各列分别统计</x:v>
      </x:c>
      <x:c r="I111" s="2" t="str">
        <x:v>数值版 Sheet1!V2:AJ163</x:v>
      </x:c>
    </x:row>
    <x:row r="112" ht="30" customHeight="1">
      <x:c r="A112" s="2" t="str">
        <x:v>Q11</x:v>
      </x:c>
      <x:c r="B112" s="2" t="str">
        <x:v>选填人数</x:v>
      </x:c>
      <x:c r="C112" s="13" t="str">
        <x:v>专业：信息技术类</x:v>
      </x:c>
      <x:c r="D112" s="2" t="str">
        <x:v>非空无效</x:v>
      </x:c>
      <x:c r="E112" s="11" t="n">
        <x:v>2</x:v>
      </x:c>
      <x:c r="F112" s="11" t="n">
        <x:v>162</x:v>
      </x:c>
      <x:c r="G112" s="12" t="n">
        <x:f>IF(F112=0,"n.a.",E112/F112)</x:f>
        <x:v>0.012345679012345678</x:v>
      </x:c>
      <x:c r="H112" s="13" t="str">
        <x:v>有效值须为非负整数；各列分别统计</x:v>
      </x:c>
      <x:c r="I112" s="2" t="str">
        <x:v>数值版 Sheet1!V2:AJ163</x:v>
      </x:c>
    </x:row>
    <x:row r="113" ht="30" customHeight="1">
      <x:c r="A113" s="2" t="str">
        <x:v>Q11</x:v>
      </x:c>
      <x:c r="B113" s="2" t="str">
        <x:v>选填人数</x:v>
      </x:c>
      <x:c r="C113" s="13" t="str">
        <x:v>专业：经济金融类</x:v>
      </x:c>
      <x:c r="D113" s="2" t="str">
        <x:v>有效填报</x:v>
      </x:c>
      <x:c r="E113" s="11" t="n">
        <x:v>84</x:v>
      </x:c>
      <x:c r="F113" s="11" t="n">
        <x:v>162</x:v>
      </x:c>
      <x:c r="G113" s="12" t="n">
        <x:f>IF(F113=0,"n.a.",E113/F113)</x:f>
        <x:v>0.5185185185185185</x:v>
      </x:c>
      <x:c r="H113" s="13" t="str">
        <x:v>有效值须为非负整数；各列分别统计</x:v>
      </x:c>
      <x:c r="I113" s="2" t="str">
        <x:v>数值版 Sheet1!V2:AJ163</x:v>
      </x:c>
    </x:row>
    <x:row r="114" ht="30" customHeight="1">
      <x:c r="A114" s="2" t="str">
        <x:v>Q11</x:v>
      </x:c>
      <x:c r="B114" s="2" t="str">
        <x:v>选填人数</x:v>
      </x:c>
      <x:c r="C114" s="13" t="str">
        <x:v>专业：经济金融类</x:v>
      </x:c>
      <x:c r="D114" s="2" t="str">
        <x:v>空白</x:v>
      </x:c>
      <x:c r="E114" s="11" t="n">
        <x:v>76</x:v>
      </x:c>
      <x:c r="F114" s="11" t="n">
        <x:v>162</x:v>
      </x:c>
      <x:c r="G114" s="12" t="n">
        <x:f>IF(F114=0,"n.a.",E114/F114)</x:f>
        <x:v>0.4691358024691358</x:v>
      </x:c>
      <x:c r="H114" s="13" t="str">
        <x:v>有效值须为非负整数；各列分别统计</x:v>
      </x:c>
      <x:c r="I114" s="2" t="str">
        <x:v>数值版 Sheet1!V2:AJ163</x:v>
      </x:c>
    </x:row>
    <x:row r="115" ht="30" customHeight="1">
      <x:c r="A115" s="2" t="str">
        <x:v>Q11</x:v>
      </x:c>
      <x:c r="B115" s="2" t="str">
        <x:v>选填人数</x:v>
      </x:c>
      <x:c r="C115" s="13" t="str">
        <x:v>专业：经济金融类</x:v>
      </x:c>
      <x:c r="D115" s="2" t="str">
        <x:v>非空无效</x:v>
      </x:c>
      <x:c r="E115" s="11" t="n">
        <x:v>2</x:v>
      </x:c>
      <x:c r="F115" s="11" t="n">
        <x:v>162</x:v>
      </x:c>
      <x:c r="G115" s="12" t="n">
        <x:f>IF(F115=0,"n.a.",E115/F115)</x:f>
        <x:v>0.012345679012345678</x:v>
      </x:c>
      <x:c r="H115" s="13" t="str">
        <x:v>有效值须为非负整数；各列分别统计</x:v>
      </x:c>
      <x:c r="I115" s="2" t="str">
        <x:v>数值版 Sheet1!V2:AJ163</x:v>
      </x:c>
    </x:row>
    <x:row r="116" ht="30" customHeight="1">
      <x:c r="A116" s="2" t="str">
        <x:v>Q11</x:v>
      </x:c>
      <x:c r="B116" s="2" t="str">
        <x:v>选填人数</x:v>
      </x:c>
      <x:c r="C116" s="13" t="str">
        <x:v>专业：其他</x:v>
      </x:c>
      <x:c r="D116" s="2" t="str">
        <x:v>有效填报</x:v>
      </x:c>
      <x:c r="E116" s="11" t="n">
        <x:v>82</x:v>
      </x:c>
      <x:c r="F116" s="11" t="n">
        <x:v>162</x:v>
      </x:c>
      <x:c r="G116" s="12" t="n">
        <x:f>IF(F116=0,"n.a.",E116/F116)</x:f>
        <x:v>0.5061728395061729</x:v>
      </x:c>
      <x:c r="H116" s="13" t="str">
        <x:v>有效值须为非负整数；各列分别统计</x:v>
      </x:c>
      <x:c r="I116" s="2" t="str">
        <x:v>数值版 Sheet1!V2:AJ163</x:v>
      </x:c>
    </x:row>
    <x:row r="117" ht="30" customHeight="1">
      <x:c r="A117" s="2" t="str">
        <x:v>Q11</x:v>
      </x:c>
      <x:c r="B117" s="2" t="str">
        <x:v>选填人数</x:v>
      </x:c>
      <x:c r="C117" s="13" t="str">
        <x:v>专业：其他</x:v>
      </x:c>
      <x:c r="D117" s="2" t="str">
        <x:v>空白</x:v>
      </x:c>
      <x:c r="E117" s="11" t="n">
        <x:v>78</x:v>
      </x:c>
      <x:c r="F117" s="11" t="n">
        <x:v>162</x:v>
      </x:c>
      <x:c r="G117" s="12" t="n">
        <x:f>IF(F117=0,"n.a.",E117/F117)</x:f>
        <x:v>0.48148148148148145</x:v>
      </x:c>
      <x:c r="H117" s="13" t="str">
        <x:v>有效值须为非负整数；各列分别统计</x:v>
      </x:c>
      <x:c r="I117" s="2" t="str">
        <x:v>数值版 Sheet1!V2:AJ163</x:v>
      </x:c>
    </x:row>
    <x:row r="118" ht="30" customHeight="1">
      <x:c r="A118" s="2" t="str">
        <x:v>Q11</x:v>
      </x:c>
      <x:c r="B118" s="2" t="str">
        <x:v>选填人数</x:v>
      </x:c>
      <x:c r="C118" s="13" t="str">
        <x:v>专业：其他</x:v>
      </x:c>
      <x:c r="D118" s="2" t="str">
        <x:v>非空无效</x:v>
      </x:c>
      <x:c r="E118" s="11" t="n">
        <x:v>2</x:v>
      </x:c>
      <x:c r="F118" s="11" t="n">
        <x:v>162</x:v>
      </x:c>
      <x:c r="G118" s="12" t="n">
        <x:f>IF(F118=0,"n.a.",E118/F118)</x:f>
        <x:v>0.012345679012345678</x:v>
      </x:c>
      <x:c r="H118" s="13" t="str">
        <x:v>有效值须为非负整数；各列分别统计</x:v>
      </x:c>
      <x:c r="I118" s="2" t="str">
        <x:v>数值版 Sheet1!V2:AJ163</x:v>
      </x:c>
    </x:row>
    <x:row r="119" ht="30" customHeight="1">
      <x:c r="A119" s="2" t="str">
        <x:v>Q12</x:v>
      </x:c>
      <x:c r="B119" s="2" t="str">
        <x:v>选填人数</x:v>
      </x:c>
      <x:c r="C119" s="13" t="str">
        <x:v>正高级专业技术资格</x:v>
      </x:c>
      <x:c r="D119" s="2" t="str">
        <x:v>有效填报</x:v>
      </x:c>
      <x:c r="E119" s="11" t="n">
        <x:v>92</x:v>
      </x:c>
      <x:c r="F119" s="11" t="n">
        <x:v>162</x:v>
      </x:c>
      <x:c r="G119" s="12" t="n">
        <x:f>IF(F119=0,"n.a.",E119/F119)</x:f>
        <x:v>0.5679012345679012</x:v>
      </x:c>
      <x:c r="H119" s="13" t="str">
        <x:v>有效值须为非负整数；各列分别统计</x:v>
      </x:c>
      <x:c r="I119" s="2" t="str">
        <x:v>数值版 Sheet1!AK2:AP163</x:v>
      </x:c>
    </x:row>
    <x:row r="120" ht="30" customHeight="1">
      <x:c r="A120" s="2" t="str">
        <x:v>Q12</x:v>
      </x:c>
      <x:c r="B120" s="2" t="str">
        <x:v>选填人数</x:v>
      </x:c>
      <x:c r="C120" s="13" t="str">
        <x:v>正高级专业技术资格</x:v>
      </x:c>
      <x:c r="D120" s="2" t="str">
        <x:v>空白</x:v>
      </x:c>
      <x:c r="E120" s="11" t="n">
        <x:v>68</x:v>
      </x:c>
      <x:c r="F120" s="11" t="n">
        <x:v>162</x:v>
      </x:c>
      <x:c r="G120" s="12" t="n">
        <x:f>IF(F120=0,"n.a.",E120/F120)</x:f>
        <x:v>0.41975308641975306</x:v>
      </x:c>
      <x:c r="H120" s="13" t="str">
        <x:v>有效值须为非负整数；各列分别统计</x:v>
      </x:c>
      <x:c r="I120" s="2" t="str">
        <x:v>数值版 Sheet1!AK2:AP163</x:v>
      </x:c>
    </x:row>
    <x:row r="121" ht="30" customHeight="1">
      <x:c r="A121" s="2" t="str">
        <x:v>Q12</x:v>
      </x:c>
      <x:c r="B121" s="2" t="str">
        <x:v>选填人数</x:v>
      </x:c>
      <x:c r="C121" s="13" t="str">
        <x:v>正高级专业技术资格</x:v>
      </x:c>
      <x:c r="D121" s="2" t="str">
        <x:v>非空无效</x:v>
      </x:c>
      <x:c r="E121" s="11" t="n">
        <x:v>2</x:v>
      </x:c>
      <x:c r="F121" s="11" t="n">
        <x:v>162</x:v>
      </x:c>
      <x:c r="G121" s="12" t="n">
        <x:f>IF(F121=0,"n.a.",E121/F121)</x:f>
        <x:v>0.012345679012345678</x:v>
      </x:c>
      <x:c r="H121" s="13" t="str">
        <x:v>有效值须为非负整数；各列分别统计</x:v>
      </x:c>
      <x:c r="I121" s="2" t="str">
        <x:v>数值版 Sheet1!AK2:AP163</x:v>
      </x:c>
    </x:row>
    <x:row r="122" ht="30" customHeight="1">
      <x:c r="A122" s="2" t="str">
        <x:v>Q12</x:v>
      </x:c>
      <x:c r="B122" s="2" t="str">
        <x:v>选填人数</x:v>
      </x:c>
      <x:c r="C122" s="13" t="str">
        <x:v>副高级专业技术资格</x:v>
      </x:c>
      <x:c r="D122" s="2" t="str">
        <x:v>有效填报</x:v>
      </x:c>
      <x:c r="E122" s="11" t="n">
        <x:v>93</x:v>
      </x:c>
      <x:c r="F122" s="11" t="n">
        <x:v>162</x:v>
      </x:c>
      <x:c r="G122" s="12" t="n">
        <x:f>IF(F122=0,"n.a.",E122/F122)</x:f>
        <x:v>0.5740740740740741</x:v>
      </x:c>
      <x:c r="H122" s="13" t="str">
        <x:v>有效值须为非负整数；各列分别统计</x:v>
      </x:c>
      <x:c r="I122" s="2" t="str">
        <x:v>数值版 Sheet1!AK2:AP163</x:v>
      </x:c>
    </x:row>
    <x:row r="123" ht="30" customHeight="1">
      <x:c r="A123" s="2" t="str">
        <x:v>Q12</x:v>
      </x:c>
      <x:c r="B123" s="2" t="str">
        <x:v>选填人数</x:v>
      </x:c>
      <x:c r="C123" s="13" t="str">
        <x:v>副高级专业技术资格</x:v>
      </x:c>
      <x:c r="D123" s="2" t="str">
        <x:v>空白</x:v>
      </x:c>
      <x:c r="E123" s="11" t="n">
        <x:v>66</x:v>
      </x:c>
      <x:c r="F123" s="11" t="n">
        <x:v>162</x:v>
      </x:c>
      <x:c r="G123" s="12" t="n">
        <x:f>IF(F123=0,"n.a.",E123/F123)</x:f>
        <x:v>0.4074074074074074</x:v>
      </x:c>
      <x:c r="H123" s="13" t="str">
        <x:v>有效值须为非负整数；各列分别统计</x:v>
      </x:c>
      <x:c r="I123" s="2" t="str">
        <x:v>数值版 Sheet1!AK2:AP163</x:v>
      </x:c>
    </x:row>
    <x:row r="124" ht="30" customHeight="1">
      <x:c r="A124" s="2" t="str">
        <x:v>Q12</x:v>
      </x:c>
      <x:c r="B124" s="2" t="str">
        <x:v>选填人数</x:v>
      </x:c>
      <x:c r="C124" s="13" t="str">
        <x:v>副高级专业技术资格</x:v>
      </x:c>
      <x:c r="D124" s="2" t="str">
        <x:v>非空无效</x:v>
      </x:c>
      <x:c r="E124" s="11" t="n">
        <x:v>3</x:v>
      </x:c>
      <x:c r="F124" s="11" t="n">
        <x:v>162</x:v>
      </x:c>
      <x:c r="G124" s="12" t="n">
        <x:f>IF(F124=0,"n.a.",E124/F124)</x:f>
        <x:v>0.018518518518518517</x:v>
      </x:c>
      <x:c r="H124" s="13" t="str">
        <x:v>有效值须为非负整数；各列分别统计</x:v>
      </x:c>
      <x:c r="I124" s="2" t="str">
        <x:v>数值版 Sheet1!AK2:AP163</x:v>
      </x:c>
    </x:row>
    <x:row r="125" ht="30" customHeight="1">
      <x:c r="A125" s="2" t="str">
        <x:v>Q12</x:v>
      </x:c>
      <x:c r="B125" s="2" t="str">
        <x:v>选填人数</x:v>
      </x:c>
      <x:c r="C125" s="13" t="str">
        <x:v>中级专业技术资格</x:v>
      </x:c>
      <x:c r="D125" s="2" t="str">
        <x:v>有效填报</x:v>
      </x:c>
      <x:c r="E125" s="11" t="n">
        <x:v>89</x:v>
      </x:c>
      <x:c r="F125" s="11" t="n">
        <x:v>162</x:v>
      </x:c>
      <x:c r="G125" s="12" t="n">
        <x:f>IF(F125=0,"n.a.",E125/F125)</x:f>
        <x:v>0.5493827160493827</x:v>
      </x:c>
      <x:c r="H125" s="13" t="str">
        <x:v>有效值须为非负整数；各列分别统计</x:v>
      </x:c>
      <x:c r="I125" s="2" t="str">
        <x:v>数值版 Sheet1!AK2:AP163</x:v>
      </x:c>
    </x:row>
    <x:row r="126" ht="30" customHeight="1">
      <x:c r="A126" s="2" t="str">
        <x:v>Q12</x:v>
      </x:c>
      <x:c r="B126" s="2" t="str">
        <x:v>选填人数</x:v>
      </x:c>
      <x:c r="C126" s="13" t="str">
        <x:v>中级专业技术资格</x:v>
      </x:c>
      <x:c r="D126" s="2" t="str">
        <x:v>空白</x:v>
      </x:c>
      <x:c r="E126" s="11" t="n">
        <x:v>71</x:v>
      </x:c>
      <x:c r="F126" s="11" t="n">
        <x:v>162</x:v>
      </x:c>
      <x:c r="G126" s="12" t="n">
        <x:f>IF(F126=0,"n.a.",E126/F126)</x:f>
        <x:v>0.4382716049382716</x:v>
      </x:c>
      <x:c r="H126" s="13" t="str">
        <x:v>有效值须为非负整数；各列分别统计</x:v>
      </x:c>
      <x:c r="I126" s="2" t="str">
        <x:v>数值版 Sheet1!AK2:AP163</x:v>
      </x:c>
    </x:row>
    <x:row r="127" ht="30" customHeight="1">
      <x:c r="A127" s="2" t="str">
        <x:v>Q12</x:v>
      </x:c>
      <x:c r="B127" s="2" t="str">
        <x:v>选填人数</x:v>
      </x:c>
      <x:c r="C127" s="13" t="str">
        <x:v>中级专业技术资格</x:v>
      </x:c>
      <x:c r="D127" s="2" t="str">
        <x:v>非空无效</x:v>
      </x:c>
      <x:c r="E127" s="11" t="n">
        <x:v>2</x:v>
      </x:c>
      <x:c r="F127" s="11" t="n">
        <x:v>162</x:v>
      </x:c>
      <x:c r="G127" s="12" t="n">
        <x:f>IF(F127=0,"n.a.",E127/F127)</x:f>
        <x:v>0.012345679012345678</x:v>
      </x:c>
      <x:c r="H127" s="13" t="str">
        <x:v>有效值须为非负整数；各列分别统计</x:v>
      </x:c>
      <x:c r="I127" s="2" t="str">
        <x:v>数值版 Sheet1!AK2:AP163</x:v>
      </x:c>
    </x:row>
    <x:row r="128" ht="30" customHeight="1">
      <x:c r="A128" s="2" t="str">
        <x:v>Q12</x:v>
      </x:c>
      <x:c r="B128" s="2" t="str">
        <x:v>选填人数</x:v>
      </x:c>
      <x:c r="C128" s="13" t="str">
        <x:v>初级及以下专业技术资格</x:v>
      </x:c>
      <x:c r="D128" s="2" t="str">
        <x:v>有效填报</x:v>
      </x:c>
      <x:c r="E128" s="11" t="n">
        <x:v>89</x:v>
      </x:c>
      <x:c r="F128" s="11" t="n">
        <x:v>162</x:v>
      </x:c>
      <x:c r="G128" s="12" t="n">
        <x:f>IF(F128=0,"n.a.",E128/F128)</x:f>
        <x:v>0.5493827160493827</x:v>
      </x:c>
      <x:c r="H128" s="13" t="str">
        <x:v>有效值须为非负整数；各列分别统计</x:v>
      </x:c>
      <x:c r="I128" s="2" t="str">
        <x:v>数值版 Sheet1!AK2:AP163</x:v>
      </x:c>
    </x:row>
    <x:row r="129" ht="30" customHeight="1">
      <x:c r="A129" s="2" t="str">
        <x:v>Q12</x:v>
      </x:c>
      <x:c r="B129" s="2" t="str">
        <x:v>选填人数</x:v>
      </x:c>
      <x:c r="C129" s="13" t="str">
        <x:v>初级及以下专业技术资格</x:v>
      </x:c>
      <x:c r="D129" s="2" t="str">
        <x:v>空白</x:v>
      </x:c>
      <x:c r="E129" s="11" t="n">
        <x:v>71</x:v>
      </x:c>
      <x:c r="F129" s="11" t="n">
        <x:v>162</x:v>
      </x:c>
      <x:c r="G129" s="12" t="n">
        <x:f>IF(F129=0,"n.a.",E129/F129)</x:f>
        <x:v>0.4382716049382716</x:v>
      </x:c>
      <x:c r="H129" s="13" t="str">
        <x:v>有效值须为非负整数；各列分别统计</x:v>
      </x:c>
      <x:c r="I129" s="2" t="str">
        <x:v>数值版 Sheet1!AK2:AP163</x:v>
      </x:c>
    </x:row>
    <x:row r="130" ht="30" customHeight="1">
      <x:c r="A130" s="2" t="str">
        <x:v>Q12</x:v>
      </x:c>
      <x:c r="B130" s="2" t="str">
        <x:v>选填人数</x:v>
      </x:c>
      <x:c r="C130" s="13" t="str">
        <x:v>初级及以下专业技术资格</x:v>
      </x:c>
      <x:c r="D130" s="2" t="str">
        <x:v>非空无效</x:v>
      </x:c>
      <x:c r="E130" s="11" t="n">
        <x:v>2</x:v>
      </x:c>
      <x:c r="F130" s="11" t="n">
        <x:v>162</x:v>
      </x:c>
      <x:c r="G130" s="12" t="n">
        <x:f>IF(F130=0,"n.a.",E130/F130)</x:f>
        <x:v>0.012345679012345678</x:v>
      </x:c>
      <x:c r="H130" s="13" t="str">
        <x:v>有效值须为非负整数；各列分别统计</x:v>
      </x:c>
      <x:c r="I130" s="2" t="str">
        <x:v>数值版 Sheet1!AK2:AP163</x:v>
      </x:c>
    </x:row>
    <x:row r="131" ht="30" customHeight="1">
      <x:c r="A131" s="2" t="str">
        <x:v>Q12</x:v>
      </x:c>
      <x:c r="B131" s="2" t="str">
        <x:v>选填人数</x:v>
      </x:c>
      <x:c r="C131" s="13" t="str">
        <x:v>注册会计师 CPA</x:v>
      </x:c>
      <x:c r="D131" s="2" t="str">
        <x:v>有效填报</x:v>
      </x:c>
      <x:c r="E131" s="11" t="n">
        <x:v>87</x:v>
      </x:c>
      <x:c r="F131" s="11" t="n">
        <x:v>162</x:v>
      </x:c>
      <x:c r="G131" s="12" t="n">
        <x:f>IF(F131=0,"n.a.",E131/F131)</x:f>
        <x:v>0.5370370370370371</x:v>
      </x:c>
      <x:c r="H131" s="13" t="str">
        <x:v>有效值须为非负整数；各列分别统计</x:v>
      </x:c>
      <x:c r="I131" s="2" t="str">
        <x:v>数值版 Sheet1!AK2:AP163</x:v>
      </x:c>
    </x:row>
    <x:row r="132" ht="30" customHeight="1">
      <x:c r="A132" s="2" t="str">
        <x:v>Q12</x:v>
      </x:c>
      <x:c r="B132" s="2" t="str">
        <x:v>选填人数</x:v>
      </x:c>
      <x:c r="C132" s="13" t="str">
        <x:v>注册会计师 CPA</x:v>
      </x:c>
      <x:c r="D132" s="2" t="str">
        <x:v>空白</x:v>
      </x:c>
      <x:c r="E132" s="11" t="n">
        <x:v>73</x:v>
      </x:c>
      <x:c r="F132" s="11" t="n">
        <x:v>162</x:v>
      </x:c>
      <x:c r="G132" s="12" t="n">
        <x:f>IF(F132=0,"n.a.",E132/F132)</x:f>
        <x:v>0.4506172839506173</x:v>
      </x:c>
      <x:c r="H132" s="13" t="str">
        <x:v>有效值须为非负整数；各列分别统计</x:v>
      </x:c>
      <x:c r="I132" s="2" t="str">
        <x:v>数值版 Sheet1!AK2:AP163</x:v>
      </x:c>
    </x:row>
    <x:row r="133" ht="30" customHeight="1">
      <x:c r="A133" s="2" t="str">
        <x:v>Q12</x:v>
      </x:c>
      <x:c r="B133" s="2" t="str">
        <x:v>选填人数</x:v>
      </x:c>
      <x:c r="C133" s="13" t="str">
        <x:v>注册会计师 CPA</x:v>
      </x:c>
      <x:c r="D133" s="2" t="str">
        <x:v>非空无效</x:v>
      </x:c>
      <x:c r="E133" s="11" t="n">
        <x:v>2</x:v>
      </x:c>
      <x:c r="F133" s="11" t="n">
        <x:v>162</x:v>
      </x:c>
      <x:c r="G133" s="12" t="n">
        <x:f>IF(F133=0,"n.a.",E133/F133)</x:f>
        <x:v>0.012345679012345678</x:v>
      </x:c>
      <x:c r="H133" s="13" t="str">
        <x:v>有效值须为非负整数；各列分别统计</x:v>
      </x:c>
      <x:c r="I133" s="2" t="str">
        <x:v>数值版 Sheet1!AK2:AP163</x:v>
      </x:c>
    </x:row>
    <x:row r="134" ht="30" customHeight="1">
      <x:c r="A134" s="2" t="str">
        <x:v>Q12</x:v>
      </x:c>
      <x:c r="B134" s="2" t="str">
        <x:v>选填人数</x:v>
      </x:c>
      <x:c r="C134" s="13" t="str">
        <x:v>管理会计师 CMA</x:v>
      </x:c>
      <x:c r="D134" s="2" t="str">
        <x:v>有效填报</x:v>
      </x:c>
      <x:c r="E134" s="11" t="n">
        <x:v>82</x:v>
      </x:c>
      <x:c r="F134" s="11" t="n">
        <x:v>162</x:v>
      </x:c>
      <x:c r="G134" s="12" t="n">
        <x:f>IF(F134=0,"n.a.",E134/F134)</x:f>
        <x:v>0.5061728395061729</x:v>
      </x:c>
      <x:c r="H134" s="13" t="str">
        <x:v>有效值须为非负整数；各列分别统计</x:v>
      </x:c>
      <x:c r="I134" s="2" t="str">
        <x:v>数值版 Sheet1!AK2:AP163</x:v>
      </x:c>
    </x:row>
    <x:row r="135" ht="30" customHeight="1">
      <x:c r="A135" s="2" t="str">
        <x:v>Q12</x:v>
      </x:c>
      <x:c r="B135" s="2" t="str">
        <x:v>选填人数</x:v>
      </x:c>
      <x:c r="C135" s="13" t="str">
        <x:v>管理会计师 CMA</x:v>
      </x:c>
      <x:c r="D135" s="2" t="str">
        <x:v>空白</x:v>
      </x:c>
      <x:c r="E135" s="11" t="n">
        <x:v>78</x:v>
      </x:c>
      <x:c r="F135" s="11" t="n">
        <x:v>162</x:v>
      </x:c>
      <x:c r="G135" s="12" t="n">
        <x:f>IF(F135=0,"n.a.",E135/F135)</x:f>
        <x:v>0.48148148148148145</x:v>
      </x:c>
      <x:c r="H135" s="13" t="str">
        <x:v>有效值须为非负整数；各列分别统计</x:v>
      </x:c>
      <x:c r="I135" s="2" t="str">
        <x:v>数值版 Sheet1!AK2:AP163</x:v>
      </x:c>
    </x:row>
    <x:row r="136" ht="30" customHeight="1">
      <x:c r="A136" s="2" t="str">
        <x:v>Q12</x:v>
      </x:c>
      <x:c r="B136" s="2" t="str">
        <x:v>选填人数</x:v>
      </x:c>
      <x:c r="C136" s="13" t="str">
        <x:v>管理会计师 CMA</x:v>
      </x:c>
      <x:c r="D136" s="2" t="str">
        <x:v>非空无效</x:v>
      </x:c>
      <x:c r="E136" s="11" t="n">
        <x:v>2</x:v>
      </x:c>
      <x:c r="F136" s="11" t="n">
        <x:v>162</x:v>
      </x:c>
      <x:c r="G136" s="12" t="n">
        <x:f>IF(F136=0,"n.a.",E136/F136)</x:f>
        <x:v>0.012345679012345678</x:v>
      </x:c>
      <x:c r="H136" s="13" t="str">
        <x:v>有效值须为非负整数；各列分别统计</x:v>
      </x:c>
      <x:c r="I136" s="2" t="str">
        <x:v>数值版 Sheet1!AK2:AP163</x:v>
      </x:c>
    </x:row>
    <x:row r="137" ht="30" customHeight="1">
      <x:c r="A137" s="2" t="str">
        <x:v>Q13</x:v>
      </x:c>
      <x:c r="B137" s="2" t="str">
        <x:v>单选</x:v>
      </x:c>
      <x:c r="C137" s="13" t="str">
        <x:v>严重不足</x:v>
      </x:c>
      <x:c r="D137" s="2" t="str">
        <x:v>1</x:v>
      </x:c>
      <x:c r="E137" s="11" t="n">
        <x:v>10</x:v>
      </x:c>
      <x:c r="F137" s="11" t="n">
        <x:v>162</x:v>
      </x:c>
      <x:c r="G137" s="12" t="n">
        <x:f>IF(F137=0,"n.a.",E137/F137)</x:f>
        <x:v>0.06172839506172839</x:v>
      </x:c>
      <x:c r="H137" s="13" t="str">
        <x:v>选项人数/该题有效答卷数</x:v>
      </x:c>
      <x:c r="I137" s="2" t="str">
        <x:v>数值版 Sheet1!AQ2:AQ163</x:v>
      </x:c>
    </x:row>
    <x:row r="138" ht="30" customHeight="1">
      <x:c r="A138" s="2" t="str">
        <x:v>Q13</x:v>
      </x:c>
      <x:c r="B138" s="2" t="str">
        <x:v>单选</x:v>
      </x:c>
      <x:c r="C138" s="13" t="str">
        <x:v>相对不足</x:v>
      </x:c>
      <x:c r="D138" s="2" t="str">
        <x:v>2</x:v>
      </x:c>
      <x:c r="E138" s="11" t="n">
        <x:v>72</x:v>
      </x:c>
      <x:c r="F138" s="11" t="n">
        <x:v>162</x:v>
      </x:c>
      <x:c r="G138" s="12" t="n">
        <x:f>IF(F138=0,"n.a.",E138/F138)</x:f>
        <x:v>0.4444444444444444</x:v>
      </x:c>
      <x:c r="H138" s="13" t="str">
        <x:v>选项人数/该题有效答卷数</x:v>
      </x:c>
      <x:c r="I138" s="2" t="str">
        <x:v>数值版 Sheet1!AQ2:AQ163</x:v>
      </x:c>
    </x:row>
    <x:row r="139" ht="30" customHeight="1">
      <x:c r="A139" s="2" t="str">
        <x:v>Q13</x:v>
      </x:c>
      <x:c r="B139" s="2" t="str">
        <x:v>单选</x:v>
      </x:c>
      <x:c r="C139" s="13" t="str">
        <x:v>基本满足</x:v>
      </x:c>
      <x:c r="D139" s="2" t="str">
        <x:v>3</x:v>
      </x:c>
      <x:c r="E139" s="11" t="n">
        <x:v>68</x:v>
      </x:c>
      <x:c r="F139" s="11" t="n">
        <x:v>162</x:v>
      </x:c>
      <x:c r="G139" s="12" t="n">
        <x:f>IF(F139=0,"n.a.",E139/F139)</x:f>
        <x:v>0.41975308641975306</x:v>
      </x:c>
      <x:c r="H139" s="13" t="str">
        <x:v>选项人数/该题有效答卷数</x:v>
      </x:c>
      <x:c r="I139" s="2" t="str">
        <x:v>数值版 Sheet1!AQ2:AQ163</x:v>
      </x:c>
    </x:row>
    <x:row r="140" ht="30" customHeight="1">
      <x:c r="A140" s="2" t="str">
        <x:v>Q13</x:v>
      </x:c>
      <x:c r="B140" s="2" t="str">
        <x:v>单选</x:v>
      </x:c>
      <x:c r="C140" s="13" t="str">
        <x:v>比较充足</x:v>
      </x:c>
      <x:c r="D140" s="2" t="str">
        <x:v>4</x:v>
      </x:c>
      <x:c r="E140" s="11" t="n">
        <x:v>12</x:v>
      </x:c>
      <x:c r="F140" s="11" t="n">
        <x:v>162</x:v>
      </x:c>
      <x:c r="G140" s="12" t="n">
        <x:f>IF(F140=0,"n.a.",E140/F140)</x:f>
        <x:v>0.07407407407407407</x:v>
      </x:c>
      <x:c r="H140" s="13" t="str">
        <x:v>选项人数/该题有效答卷数</x:v>
      </x:c>
      <x:c r="I140" s="2" t="str">
        <x:v>数值版 Sheet1!AQ2:AQ163</x:v>
      </x:c>
    </x:row>
    <x:row r="141" ht="30" customHeight="1">
      <x:c r="A141" s="2" t="str">
        <x:v>Q14</x:v>
      </x:c>
      <x:c r="B141" s="2" t="str">
        <x:v>多选</x:v>
      </x:c>
      <x:c r="C141" s="13" t="str">
        <x:v>成本核算</x:v>
      </x:c>
      <x:c r="D141" s="2" t="str">
        <x:v>选中</x:v>
      </x:c>
      <x:c r="E141" s="11" t="n">
        <x:v>68</x:v>
      </x:c>
      <x:c r="F141" s="11" t="n">
        <x:v>162</x:v>
      </x:c>
      <x:c r="G141" s="12" t="n">
        <x:f>IF(F141=0,"n.a.",E141/F141)</x:f>
        <x:v>0.41975308641975306</x:v>
      </x:c>
      <x:c r="H141" s="13" t="str">
        <x:v>多选：各选项比例之和可超过100%</x:v>
      </x:c>
      <x:c r="I141" s="2" t="str">
        <x:v>数值版 Sheet1!AR2:AZ163</x:v>
      </x:c>
    </x:row>
    <x:row r="142" ht="30" customHeight="1">
      <x:c r="A142" s="2" t="str">
        <x:v>Q14</x:v>
      </x:c>
      <x:c r="B142" s="2" t="str">
        <x:v>多选</x:v>
      </x:c>
      <x:c r="C142" s="13" t="str">
        <x:v>成本核算</x:v>
      </x:c>
      <x:c r="D142" s="2" t="str">
        <x:v>未选中</x:v>
      </x:c>
      <x:c r="E142" s="11" t="n">
        <x:v>94</x:v>
      </x:c>
      <x:c r="F142" s="11" t="n">
        <x:v>162</x:v>
      </x:c>
      <x:c r="G142" s="12" t="n">
        <x:f>IF(F142=0,"n.a.",E142/F142)</x:f>
        <x:v>0.5802469135802469</x:v>
      </x:c>
      <x:c r="H142" s="13" t="str">
        <x:v>未选中不等于缺失</x:v>
      </x:c>
      <x:c r="I142" s="2" t="str">
        <x:v>数值版 Sheet1!AR2:AZ163</x:v>
      </x:c>
    </x:row>
    <x:row r="143" ht="30" customHeight="1">
      <x:c r="A143" s="2" t="str">
        <x:v>Q14</x:v>
      </x:c>
      <x:c r="B143" s="2" t="str">
        <x:v>多选</x:v>
      </x:c>
      <x:c r="C143" s="13" t="str">
        <x:v>预算管理</x:v>
      </x:c>
      <x:c r="D143" s="2" t="str">
        <x:v>选中</x:v>
      </x:c>
      <x:c r="E143" s="11" t="n">
        <x:v>36</x:v>
      </x:c>
      <x:c r="F143" s="11" t="n">
        <x:v>162</x:v>
      </x:c>
      <x:c r="G143" s="12" t="n">
        <x:f>IF(F143=0,"n.a.",E143/F143)</x:f>
        <x:v>0.2222222222222222</x:v>
      </x:c>
      <x:c r="H143" s="13" t="str">
        <x:v>多选：各选项比例之和可超过100%</x:v>
      </x:c>
      <x:c r="I143" s="2" t="str">
        <x:v>数值版 Sheet1!AR2:AZ163</x:v>
      </x:c>
    </x:row>
    <x:row r="144" ht="30" customHeight="1">
      <x:c r="A144" s="2" t="str">
        <x:v>Q14</x:v>
      </x:c>
      <x:c r="B144" s="2" t="str">
        <x:v>多选</x:v>
      </x:c>
      <x:c r="C144" s="13" t="str">
        <x:v>预算管理</x:v>
      </x:c>
      <x:c r="D144" s="2" t="str">
        <x:v>未选中</x:v>
      </x:c>
      <x:c r="E144" s="11" t="n">
        <x:v>126</x:v>
      </x:c>
      <x:c r="F144" s="11" t="n">
        <x:v>162</x:v>
      </x:c>
      <x:c r="G144" s="12" t="n">
        <x:f>IF(F144=0,"n.a.",E144/F144)</x:f>
        <x:v>0.7777777777777778</x:v>
      </x:c>
      <x:c r="H144" s="13" t="str">
        <x:v>未选中不等于缺失</x:v>
      </x:c>
      <x:c r="I144" s="2" t="str">
        <x:v>数值版 Sheet1!AR2:AZ163</x:v>
      </x:c>
    </x:row>
    <x:row r="145" ht="30" customHeight="1">
      <x:c r="A145" s="2" t="str">
        <x:v>Q14</x:v>
      </x:c>
      <x:c r="B145" s="2" t="str">
        <x:v>多选</x:v>
      </x:c>
      <x:c r="C145" s="13" t="str">
        <x:v>运营分析</x:v>
      </x:c>
      <x:c r="D145" s="2" t="str">
        <x:v>选中</x:v>
      </x:c>
      <x:c r="E145" s="11" t="n">
        <x:v>93</x:v>
      </x:c>
      <x:c r="F145" s="11" t="n">
        <x:v>162</x:v>
      </x:c>
      <x:c r="G145" s="12" t="n">
        <x:f>IF(F145=0,"n.a.",E145/F145)</x:f>
        <x:v>0.5740740740740741</x:v>
      </x:c>
      <x:c r="H145" s="13" t="str">
        <x:v>多选：各选项比例之和可超过100%</x:v>
      </x:c>
      <x:c r="I145" s="2" t="str">
        <x:v>数值版 Sheet1!AR2:AZ163</x:v>
      </x:c>
    </x:row>
    <x:row r="146" ht="30" customHeight="1">
      <x:c r="A146" s="2" t="str">
        <x:v>Q14</x:v>
      </x:c>
      <x:c r="B146" s="2" t="str">
        <x:v>多选</x:v>
      </x:c>
      <x:c r="C146" s="13" t="str">
        <x:v>运营分析</x:v>
      </x:c>
      <x:c r="D146" s="2" t="str">
        <x:v>未选中</x:v>
      </x:c>
      <x:c r="E146" s="11" t="n">
        <x:v>69</x:v>
      </x:c>
      <x:c r="F146" s="11" t="n">
        <x:v>162</x:v>
      </x:c>
      <x:c r="G146" s="12" t="n">
        <x:f>IF(F146=0,"n.a.",E146/F146)</x:f>
        <x:v>0.42592592592592593</x:v>
      </x:c>
      <x:c r="H146" s="13" t="str">
        <x:v>未选中不等于缺失</x:v>
      </x:c>
      <x:c r="I146" s="2" t="str">
        <x:v>数值版 Sheet1!AR2:AZ163</x:v>
      </x:c>
    </x:row>
    <x:row r="147" ht="30" customHeight="1">
      <x:c r="A147" s="2" t="str">
        <x:v>Q14</x:v>
      </x:c>
      <x:c r="B147" s="2" t="str">
        <x:v>多选</x:v>
      </x:c>
      <x:c r="C147" s="13" t="str">
        <x:v>医保管理</x:v>
      </x:c>
      <x:c r="D147" s="2" t="str">
        <x:v>选中</x:v>
      </x:c>
      <x:c r="E147" s="11" t="n">
        <x:v>21</x:v>
      </x:c>
      <x:c r="F147" s="11" t="n">
        <x:v>162</x:v>
      </x:c>
      <x:c r="G147" s="12" t="n">
        <x:f>IF(F147=0,"n.a.",E147/F147)</x:f>
        <x:v>0.12962962962962962</x:v>
      </x:c>
      <x:c r="H147" s="13" t="str">
        <x:v>多选：各选项比例之和可超过100%</x:v>
      </x:c>
      <x:c r="I147" s="2" t="str">
        <x:v>数值版 Sheet1!AR2:AZ163</x:v>
      </x:c>
    </x:row>
    <x:row r="148" ht="30" customHeight="1">
      <x:c r="A148" s="2" t="str">
        <x:v>Q14</x:v>
      </x:c>
      <x:c r="B148" s="2" t="str">
        <x:v>多选</x:v>
      </x:c>
      <x:c r="C148" s="13" t="str">
        <x:v>医保管理</x:v>
      </x:c>
      <x:c r="D148" s="2" t="str">
        <x:v>未选中</x:v>
      </x:c>
      <x:c r="E148" s="11" t="n">
        <x:v>141</x:v>
      </x:c>
      <x:c r="F148" s="11" t="n">
        <x:v>162</x:v>
      </x:c>
      <x:c r="G148" s="12" t="n">
        <x:f>IF(F148=0,"n.a.",E148/F148)</x:f>
        <x:v>0.8703703703703703</x:v>
      </x:c>
      <x:c r="H148" s="13" t="str">
        <x:v>未选中不等于缺失</x:v>
      </x:c>
      <x:c r="I148" s="2" t="str">
        <x:v>数值版 Sheet1!AR2:AZ163</x:v>
      </x:c>
    </x:row>
    <x:row r="149" ht="30" customHeight="1">
      <x:c r="A149" s="2" t="str">
        <x:v>Q14</x:v>
      </x:c>
      <x:c r="B149" s="2" t="str">
        <x:v>多选</x:v>
      </x:c>
      <x:c r="C149" s="13" t="str">
        <x:v>内部审计</x:v>
      </x:c>
      <x:c r="D149" s="2" t="str">
        <x:v>选中</x:v>
      </x:c>
      <x:c r="E149" s="11" t="n">
        <x:v>17</x:v>
      </x:c>
      <x:c r="F149" s="11" t="n">
        <x:v>162</x:v>
      </x:c>
      <x:c r="G149" s="12" t="n">
        <x:f>IF(F149=0,"n.a.",E149/F149)</x:f>
        <x:v>0.10493827160493827</x:v>
      </x:c>
      <x:c r="H149" s="13" t="str">
        <x:v>多选：各选项比例之和可超过100%</x:v>
      </x:c>
      <x:c r="I149" s="2" t="str">
        <x:v>数值版 Sheet1!AR2:AZ163</x:v>
      </x:c>
    </x:row>
    <x:row r="150" ht="30" customHeight="1">
      <x:c r="A150" s="2" t="str">
        <x:v>Q14</x:v>
      </x:c>
      <x:c r="B150" s="2" t="str">
        <x:v>多选</x:v>
      </x:c>
      <x:c r="C150" s="13" t="str">
        <x:v>内部审计</x:v>
      </x:c>
      <x:c r="D150" s="2" t="str">
        <x:v>未选中</x:v>
      </x:c>
      <x:c r="E150" s="11" t="n">
        <x:v>145</x:v>
      </x:c>
      <x:c r="F150" s="11" t="n">
        <x:v>162</x:v>
      </x:c>
      <x:c r="G150" s="12" t="n">
        <x:f>IF(F150=0,"n.a.",E150/F150)</x:f>
        <x:v>0.8950617283950617</x:v>
      </x:c>
      <x:c r="H150" s="13" t="str">
        <x:v>未选中不等于缺失</x:v>
      </x:c>
      <x:c r="I150" s="2" t="str">
        <x:v>数值版 Sheet1!AR2:AZ163</x:v>
      </x:c>
    </x:row>
    <x:row r="151" ht="30" customHeight="1">
      <x:c r="A151" s="2" t="str">
        <x:v>Q14</x:v>
      </x:c>
      <x:c r="B151" s="2" t="str">
        <x:v>多选</x:v>
      </x:c>
      <x:c r="C151" s="13" t="str">
        <x:v>物价管理</x:v>
      </x:c>
      <x:c r="D151" s="2" t="str">
        <x:v>选中</x:v>
      </x:c>
      <x:c r="E151" s="11" t="n">
        <x:v>11</x:v>
      </x:c>
      <x:c r="F151" s="11" t="n">
        <x:v>162</x:v>
      </x:c>
      <x:c r="G151" s="12" t="n">
        <x:f>IF(F151=0,"n.a.",E151/F151)</x:f>
        <x:v>0.06790123456790123</x:v>
      </x:c>
      <x:c r="H151" s="13" t="str">
        <x:v>多选：各选项比例之和可超过100%</x:v>
      </x:c>
      <x:c r="I151" s="2" t="str">
        <x:v>数值版 Sheet1!AR2:AZ163</x:v>
      </x:c>
    </x:row>
    <x:row r="152" ht="30" customHeight="1">
      <x:c r="A152" s="2" t="str">
        <x:v>Q14</x:v>
      </x:c>
      <x:c r="B152" s="2" t="str">
        <x:v>多选</x:v>
      </x:c>
      <x:c r="C152" s="13" t="str">
        <x:v>物价管理</x:v>
      </x:c>
      <x:c r="D152" s="2" t="str">
        <x:v>未选中</x:v>
      </x:c>
      <x:c r="E152" s="11" t="n">
        <x:v>151</x:v>
      </x:c>
      <x:c r="F152" s="11" t="n">
        <x:v>162</x:v>
      </x:c>
      <x:c r="G152" s="12" t="n">
        <x:f>IF(F152=0,"n.a.",E152/F152)</x:f>
        <x:v>0.9320987654320988</x:v>
      </x:c>
      <x:c r="H152" s="13" t="str">
        <x:v>未选中不等于缺失</x:v>
      </x:c>
      <x:c r="I152" s="2" t="str">
        <x:v>数值版 Sheet1!AR2:AZ163</x:v>
      </x:c>
    </x:row>
    <x:row r="153" ht="30" customHeight="1">
      <x:c r="A153" s="2" t="str">
        <x:v>Q14</x:v>
      </x:c>
      <x:c r="B153" s="2" t="str">
        <x:v>多选</x:v>
      </x:c>
      <x:c r="C153" s="13" t="str">
        <x:v>绩效管理</x:v>
      </x:c>
      <x:c r="D153" s="2" t="str">
        <x:v>选中</x:v>
      </x:c>
      <x:c r="E153" s="11" t="n">
        <x:v>21</x:v>
      </x:c>
      <x:c r="F153" s="11" t="n">
        <x:v>162</x:v>
      </x:c>
      <x:c r="G153" s="12" t="n">
        <x:f>IF(F153=0,"n.a.",E153/F153)</x:f>
        <x:v>0.12962962962962962</x:v>
      </x:c>
      <x:c r="H153" s="13" t="str">
        <x:v>多选：各选项比例之和可超过100%</x:v>
      </x:c>
      <x:c r="I153" s="2" t="str">
        <x:v>数值版 Sheet1!AR2:AZ163</x:v>
      </x:c>
    </x:row>
    <x:row r="154" ht="30" customHeight="1">
      <x:c r="A154" s="2" t="str">
        <x:v>Q14</x:v>
      </x:c>
      <x:c r="B154" s="2" t="str">
        <x:v>多选</x:v>
      </x:c>
      <x:c r="C154" s="13" t="str">
        <x:v>绩效管理</x:v>
      </x:c>
      <x:c r="D154" s="2" t="str">
        <x:v>未选中</x:v>
      </x:c>
      <x:c r="E154" s="11" t="n">
        <x:v>141</x:v>
      </x:c>
      <x:c r="F154" s="11" t="n">
        <x:v>162</x:v>
      </x:c>
      <x:c r="G154" s="12" t="n">
        <x:f>IF(F154=0,"n.a.",E154/F154)</x:f>
        <x:v>0.8703703703703703</x:v>
      </x:c>
      <x:c r="H154" s="13" t="str">
        <x:v>未选中不等于缺失</x:v>
      </x:c>
      <x:c r="I154" s="2" t="str">
        <x:v>数值版 Sheet1!AR2:AZ163</x:v>
      </x:c>
    </x:row>
    <x:row r="155" ht="30" customHeight="1">
      <x:c r="A155" s="2" t="str">
        <x:v>Q14</x:v>
      </x:c>
      <x:c r="B155" s="2" t="str">
        <x:v>多选</x:v>
      </x:c>
      <x:c r="C155" s="13" t="str">
        <x:v>数据分析/信息化</x:v>
      </x:c>
      <x:c r="D155" s="2" t="str">
        <x:v>选中</x:v>
      </x:c>
      <x:c r="E155" s="11" t="n">
        <x:v>103</x:v>
      </x:c>
      <x:c r="F155" s="11" t="n">
        <x:v>162</x:v>
      </x:c>
      <x:c r="G155" s="12" t="n">
        <x:f>IF(F155=0,"n.a.",E155/F155)</x:f>
        <x:v>0.6358024691358025</x:v>
      </x:c>
      <x:c r="H155" s="13" t="str">
        <x:v>多选：各选项比例之和可超过100%</x:v>
      </x:c>
      <x:c r="I155" s="2" t="str">
        <x:v>数值版 Sheet1!AR2:AZ163</x:v>
      </x:c>
    </x:row>
    <x:row r="156" ht="30" customHeight="1">
      <x:c r="A156" s="2" t="str">
        <x:v>Q14</x:v>
      </x:c>
      <x:c r="B156" s="2" t="str">
        <x:v>多选</x:v>
      </x:c>
      <x:c r="C156" s="13" t="str">
        <x:v>数据分析/信息化</x:v>
      </x:c>
      <x:c r="D156" s="2" t="str">
        <x:v>未选中</x:v>
      </x:c>
      <x:c r="E156" s="11" t="n">
        <x:v>59</x:v>
      </x:c>
      <x:c r="F156" s="11" t="n">
        <x:v>162</x:v>
      </x:c>
      <x:c r="G156" s="12" t="n">
        <x:f>IF(F156=0,"n.a.",E156/F156)</x:f>
        <x:v>0.36419753086419754</x:v>
      </x:c>
      <x:c r="H156" s="13" t="str">
        <x:v>未选中不等于缺失</x:v>
      </x:c>
      <x:c r="I156" s="2" t="str">
        <x:v>数值版 Sheet1!AR2:AZ163</x:v>
      </x:c>
    </x:row>
    <x:row r="157" ht="30" customHeight="1">
      <x:c r="A157" s="2" t="str">
        <x:v>Q14</x:v>
      </x:c>
      <x:c r="B157" s="2" t="str">
        <x:v>多选</x:v>
      </x:c>
      <x:c r="C157" s="13" t="str">
        <x:v>综合财务管理</x:v>
      </x:c>
      <x:c r="D157" s="2" t="str">
        <x:v>选中</x:v>
      </x:c>
      <x:c r="E157" s="11" t="n">
        <x:v>63</x:v>
      </x:c>
      <x:c r="F157" s="11" t="n">
        <x:v>162</x:v>
      </x:c>
      <x:c r="G157" s="12" t="n">
        <x:f>IF(F157=0,"n.a.",E157/F157)</x:f>
        <x:v>0.3888888888888889</x:v>
      </x:c>
      <x:c r="H157" s="13" t="str">
        <x:v>多选：各选项比例之和可超过100%</x:v>
      </x:c>
      <x:c r="I157" s="2" t="str">
        <x:v>数值版 Sheet1!AR2:AZ163</x:v>
      </x:c>
    </x:row>
    <x:row r="158" ht="30" customHeight="1">
      <x:c r="A158" s="2" t="str">
        <x:v>Q14</x:v>
      </x:c>
      <x:c r="B158" s="2" t="str">
        <x:v>多选</x:v>
      </x:c>
      <x:c r="C158" s="13" t="str">
        <x:v>综合财务管理</x:v>
      </x:c>
      <x:c r="D158" s="2" t="str">
        <x:v>未选中</x:v>
      </x:c>
      <x:c r="E158" s="11" t="n">
        <x:v>99</x:v>
      </x:c>
      <x:c r="F158" s="11" t="n">
        <x:v>162</x:v>
      </x:c>
      <x:c r="G158" s="12" t="n">
        <x:f>IF(F158=0,"n.a.",E158/F158)</x:f>
        <x:v>0.6111111111111112</x:v>
      </x:c>
      <x:c r="H158" s="13" t="str">
        <x:v>未选中不等于缺失</x:v>
      </x:c>
      <x:c r="I158" s="2" t="str">
        <x:v>数值版 Sheet1!AR2:AZ163</x:v>
      </x:c>
    </x:row>
    <x:row r="159" ht="30" customHeight="1">
      <x:c r="A159" s="2" t="str">
        <x:v>Q15</x:v>
      </x:c>
      <x:c r="B159" s="2" t="str">
        <x:v>单选</x:v>
      </x:c>
      <x:c r="C159" s="13" t="str">
        <x:v>有制度且落实到位</x:v>
      </x:c>
      <x:c r="D159" s="2" t="str">
        <x:v>1</x:v>
      </x:c>
      <x:c r="E159" s="11" t="n">
        <x:v>32</x:v>
      </x:c>
      <x:c r="F159" s="11" t="n">
        <x:v>162</x:v>
      </x:c>
      <x:c r="G159" s="12" t="n">
        <x:f>IF(F159=0,"n.a.",E159/F159)</x:f>
        <x:v>0.19753086419753085</x:v>
      </x:c>
      <x:c r="H159" s="13" t="str">
        <x:v>选项人数/该题有效答卷数</x:v>
      </x:c>
      <x:c r="I159" s="2" t="str">
        <x:v>数值版 Sheet1!BA2:BA163</x:v>
      </x:c>
    </x:row>
    <x:row r="160" ht="30" customHeight="1">
      <x:c r="A160" s="2" t="str">
        <x:v>Q15</x:v>
      </x:c>
      <x:c r="B160" s="2" t="str">
        <x:v>单选</x:v>
      </x:c>
      <x:c r="C160" s="13" t="str">
        <x:v>有制度但落实不足</x:v>
      </x:c>
      <x:c r="D160" s="2" t="str">
        <x:v>2</x:v>
      </x:c>
      <x:c r="E160" s="11" t="n">
        <x:v>49</x:v>
      </x:c>
      <x:c r="F160" s="11" t="n">
        <x:v>162</x:v>
      </x:c>
      <x:c r="G160" s="12" t="n">
        <x:f>IF(F160=0,"n.a.",E160/F160)</x:f>
        <x:v>0.30246913580246915</x:v>
      </x:c>
      <x:c r="H160" s="13" t="str">
        <x:v>选项人数/该题有效答卷数</x:v>
      </x:c>
      <x:c r="I160" s="2" t="str">
        <x:v>数值版 Sheet1!BA2:BA163</x:v>
      </x:c>
    </x:row>
    <x:row r="161" ht="30" customHeight="1">
      <x:c r="A161" s="2" t="str">
        <x:v>Q15</x:v>
      </x:c>
      <x:c r="B161" s="2" t="str">
        <x:v>单选</x:v>
      </x:c>
      <x:c r="C161" s="13" t="str">
        <x:v>无系统制度安排</x:v>
      </x:c>
      <x:c r="D161" s="2" t="str">
        <x:v>3</x:v>
      </x:c>
      <x:c r="E161" s="11" t="n">
        <x:v>81</x:v>
      </x:c>
      <x:c r="F161" s="11" t="n">
        <x:v>162</x:v>
      </x:c>
      <x:c r="G161" s="12" t="n">
        <x:f>IF(F161=0,"n.a.",E161/F161)</x:f>
        <x:v>0.5</x:v>
      </x:c>
      <x:c r="H161" s="13" t="str">
        <x:v>选项人数/该题有效答卷数</x:v>
      </x:c>
      <x:c r="I161" s="2" t="str">
        <x:v>数值版 Sheet1!BA2:BA163</x:v>
      </x:c>
    </x:row>
    <x:row r="162" ht="30" customHeight="1">
      <x:c r="A162" s="2" t="str">
        <x:v>Q16</x:v>
      </x:c>
      <x:c r="B162" s="2" t="str">
        <x:v>单选</x:v>
      </x:c>
      <x:c r="C162" s="13" t="str">
        <x:v>20学时以下</x:v>
      </x:c>
      <x:c r="D162" s="2" t="str">
        <x:v>1</x:v>
      </x:c>
      <x:c r="E162" s="11" t="n">
        <x:v>50</x:v>
      </x:c>
      <x:c r="F162" s="11" t="n">
        <x:v>162</x:v>
      </x:c>
      <x:c r="G162" s="12" t="n">
        <x:f>IF(F162=0,"n.a.",E162/F162)</x:f>
        <x:v>0.30864197530864196</x:v>
      </x:c>
      <x:c r="H162" s="13" t="str">
        <x:v>选项人数/该题有效答卷数</x:v>
      </x:c>
      <x:c r="I162" s="2" t="str">
        <x:v>数值版 Sheet1!BB2:BB163</x:v>
      </x:c>
    </x:row>
    <x:row r="163" ht="30" customHeight="1">
      <x:c r="A163" s="2" t="str">
        <x:v>Q16</x:v>
      </x:c>
      <x:c r="B163" s="2" t="str">
        <x:v>单选</x:v>
      </x:c>
      <x:c r="C163" s="13" t="str">
        <x:v>20—40学时</x:v>
      </x:c>
      <x:c r="D163" s="2" t="str">
        <x:v>2</x:v>
      </x:c>
      <x:c r="E163" s="11" t="n">
        <x:v>53</x:v>
      </x:c>
      <x:c r="F163" s="11" t="n">
        <x:v>162</x:v>
      </x:c>
      <x:c r="G163" s="12" t="n">
        <x:f>IF(F163=0,"n.a.",E163/F163)</x:f>
        <x:v>0.3271604938271605</x:v>
      </x:c>
      <x:c r="H163" s="13" t="str">
        <x:v>选项人数/该题有效答卷数</x:v>
      </x:c>
      <x:c r="I163" s="2" t="str">
        <x:v>数值版 Sheet1!BB2:BB163</x:v>
      </x:c>
    </x:row>
    <x:row r="164" ht="30" customHeight="1">
      <x:c r="A164" s="2" t="str">
        <x:v>Q16</x:v>
      </x:c>
      <x:c r="B164" s="2" t="str">
        <x:v>单选</x:v>
      </x:c>
      <x:c r="C164" s="13" t="str">
        <x:v>41—60学时</x:v>
      </x:c>
      <x:c r="D164" s="2" t="str">
        <x:v>3</x:v>
      </x:c>
      <x:c r="E164" s="11" t="n">
        <x:v>21</x:v>
      </x:c>
      <x:c r="F164" s="11" t="n">
        <x:v>162</x:v>
      </x:c>
      <x:c r="G164" s="12" t="n">
        <x:f>IF(F164=0,"n.a.",E164/F164)</x:f>
        <x:v>0.12962962962962962</x:v>
      </x:c>
      <x:c r="H164" s="13" t="str">
        <x:v>选项人数/该题有效答卷数</x:v>
      </x:c>
      <x:c r="I164" s="2" t="str">
        <x:v>数值版 Sheet1!BB2:BB163</x:v>
      </x:c>
    </x:row>
    <x:row r="165" ht="30" customHeight="1">
      <x:c r="A165" s="2" t="str">
        <x:v>Q16</x:v>
      </x:c>
      <x:c r="B165" s="2" t="str">
        <x:v>单选</x:v>
      </x:c>
      <x:c r="C165" s="13" t="str">
        <x:v>61—90学时</x:v>
      </x:c>
      <x:c r="D165" s="2" t="str">
        <x:v>4</x:v>
      </x:c>
      <x:c r="E165" s="11" t="n">
        <x:v>20</x:v>
      </x:c>
      <x:c r="F165" s="11" t="n">
        <x:v>162</x:v>
      </x:c>
      <x:c r="G165" s="12" t="n">
        <x:f>IF(F165=0,"n.a.",E165/F165)</x:f>
        <x:v>0.12345679012345678</x:v>
      </x:c>
      <x:c r="H165" s="13" t="str">
        <x:v>选项人数/该题有效答卷数</x:v>
      </x:c>
      <x:c r="I165" s="2" t="str">
        <x:v>数值版 Sheet1!BB2:BB163</x:v>
      </x:c>
    </x:row>
    <x:row r="166" ht="30" customHeight="1">
      <x:c r="A166" s="2" t="str">
        <x:v>Q16</x:v>
      </x:c>
      <x:c r="B166" s="2" t="str">
        <x:v>单选</x:v>
      </x:c>
      <x:c r="C166" s="13" t="str">
        <x:v>90学时以上</x:v>
      </x:c>
      <x:c r="D166" s="2" t="str">
        <x:v>5</x:v>
      </x:c>
      <x:c r="E166" s="11" t="n">
        <x:v>18</x:v>
      </x:c>
      <x:c r="F166" s="11" t="n">
        <x:v>162</x:v>
      </x:c>
      <x:c r="G166" s="12" t="n">
        <x:f>IF(F166=0,"n.a.",E166/F166)</x:f>
        <x:v>0.1111111111111111</x:v>
      </x:c>
      <x:c r="H166" s="13" t="str">
        <x:v>选项人数/该题有效答卷数</x:v>
      </x:c>
      <x:c r="I166" s="2" t="str">
        <x:v>数值版 Sheet1!BB2:BB163</x:v>
      </x:c>
    </x:row>
    <x:row r="167" ht="30" customHeight="1">
      <x:c r="A167" s="2" t="str">
        <x:v>Q17</x:v>
      </x:c>
      <x:c r="B167" s="2" t="str">
        <x:v>多选</x:v>
      </x:c>
      <x:c r="C167" s="13" t="str">
        <x:v>会计准则与制度</x:v>
      </x:c>
      <x:c r="D167" s="2" t="str">
        <x:v>选中</x:v>
      </x:c>
      <x:c r="E167" s="11" t="n">
        <x:v>112</x:v>
      </x:c>
      <x:c r="F167" s="11" t="n">
        <x:v>162</x:v>
      </x:c>
      <x:c r="G167" s="12" t="n">
        <x:f>IF(F167=0,"n.a.",E167/F167)</x:f>
        <x:v>0.691358024691358</x:v>
      </x:c>
      <x:c r="H167" s="13" t="str">
        <x:v>多选：各选项比例之和可超过100%</x:v>
      </x:c>
      <x:c r="I167" s="2" t="str">
        <x:v>数值版 Sheet1!BC2:BJ163</x:v>
      </x:c>
    </x:row>
    <x:row r="168" ht="30" customHeight="1">
      <x:c r="A168" s="2" t="str">
        <x:v>Q17</x:v>
      </x:c>
      <x:c r="B168" s="2" t="str">
        <x:v>多选</x:v>
      </x:c>
      <x:c r="C168" s="13" t="str">
        <x:v>会计准则与制度</x:v>
      </x:c>
      <x:c r="D168" s="2" t="str">
        <x:v>未选中</x:v>
      </x:c>
      <x:c r="E168" s="11" t="n">
        <x:v>50</x:v>
      </x:c>
      <x:c r="F168" s="11" t="n">
        <x:v>162</x:v>
      </x:c>
      <x:c r="G168" s="12" t="n">
        <x:f>IF(F168=0,"n.a.",E168/F168)</x:f>
        <x:v>0.30864197530864196</x:v>
      </x:c>
      <x:c r="H168" s="13" t="str">
        <x:v>未选中不等于缺失</x:v>
      </x:c>
      <x:c r="I168" s="2" t="str">
        <x:v>数值版 Sheet1!BC2:BJ163</x:v>
      </x:c>
    </x:row>
    <x:row r="169" ht="30" customHeight="1">
      <x:c r="A169" s="2" t="str">
        <x:v>Q17</x:v>
      </x:c>
      <x:c r="B169" s="2" t="str">
        <x:v>多选</x:v>
      </x:c>
      <x:c r="C169" s="13" t="str">
        <x:v>预算绩效管理</x:v>
      </x:c>
      <x:c r="D169" s="2" t="str">
        <x:v>选中</x:v>
      </x:c>
      <x:c r="E169" s="11" t="n">
        <x:v>100</x:v>
      </x:c>
      <x:c r="F169" s="11" t="n">
        <x:v>162</x:v>
      </x:c>
      <x:c r="G169" s="12" t="n">
        <x:f>IF(F169=0,"n.a.",E169/F169)</x:f>
        <x:v>0.6172839506172839</x:v>
      </x:c>
      <x:c r="H169" s="13" t="str">
        <x:v>多选：各选项比例之和可超过100%</x:v>
      </x:c>
      <x:c r="I169" s="2" t="str">
        <x:v>数值版 Sheet1!BC2:BJ163</x:v>
      </x:c>
    </x:row>
    <x:row r="170" ht="30" customHeight="1">
      <x:c r="A170" s="2" t="str">
        <x:v>Q17</x:v>
      </x:c>
      <x:c r="B170" s="2" t="str">
        <x:v>多选</x:v>
      </x:c>
      <x:c r="C170" s="13" t="str">
        <x:v>预算绩效管理</x:v>
      </x:c>
      <x:c r="D170" s="2" t="str">
        <x:v>未选中</x:v>
      </x:c>
      <x:c r="E170" s="11" t="n">
        <x:v>62</x:v>
      </x:c>
      <x:c r="F170" s="11" t="n">
        <x:v>162</x:v>
      </x:c>
      <x:c r="G170" s="12" t="n">
        <x:f>IF(F170=0,"n.a.",E170/F170)</x:f>
        <x:v>0.38271604938271603</x:v>
      </x:c>
      <x:c r="H170" s="13" t="str">
        <x:v>未选中不等于缺失</x:v>
      </x:c>
      <x:c r="I170" s="2" t="str">
        <x:v>数值版 Sheet1!BC2:BJ163</x:v>
      </x:c>
    </x:row>
    <x:row r="171" ht="30" customHeight="1">
      <x:c r="A171" s="2" t="str">
        <x:v>Q17</x:v>
      </x:c>
      <x:c r="B171" s="2" t="str">
        <x:v>多选</x:v>
      </x:c>
      <x:c r="C171" s="13" t="str">
        <x:v>DRG/DIP与医保政策</x:v>
      </x:c>
      <x:c r="D171" s="2" t="str">
        <x:v>选中</x:v>
      </x:c>
      <x:c r="E171" s="11" t="n">
        <x:v>97</x:v>
      </x:c>
      <x:c r="F171" s="11" t="n">
        <x:v>162</x:v>
      </x:c>
      <x:c r="G171" s="12" t="n">
        <x:f>IF(F171=0,"n.a.",E171/F171)</x:f>
        <x:v>0.5987654320987654</x:v>
      </x:c>
      <x:c r="H171" s="13" t="str">
        <x:v>多选：各选项比例之和可超过100%</x:v>
      </x:c>
      <x:c r="I171" s="2" t="str">
        <x:v>数值版 Sheet1!BC2:BJ163</x:v>
      </x:c>
    </x:row>
    <x:row r="172" ht="30" customHeight="1">
      <x:c r="A172" s="2" t="str">
        <x:v>Q17</x:v>
      </x:c>
      <x:c r="B172" s="2" t="str">
        <x:v>多选</x:v>
      </x:c>
      <x:c r="C172" s="13" t="str">
        <x:v>DRG/DIP与医保政策</x:v>
      </x:c>
      <x:c r="D172" s="2" t="str">
        <x:v>未选中</x:v>
      </x:c>
      <x:c r="E172" s="11" t="n">
        <x:v>65</x:v>
      </x:c>
      <x:c r="F172" s="11" t="n">
        <x:v>162</x:v>
      </x:c>
      <x:c r="G172" s="12" t="n">
        <x:f>IF(F172=0,"n.a.",E172/F172)</x:f>
        <x:v>0.4012345679012346</x:v>
      </x:c>
      <x:c r="H172" s="13" t="str">
        <x:v>未选中不等于缺失</x:v>
      </x:c>
      <x:c r="I172" s="2" t="str">
        <x:v>数值版 Sheet1!BC2:BJ163</x:v>
      </x:c>
    </x:row>
    <x:row r="173" ht="30" customHeight="1">
      <x:c r="A173" s="2" t="str">
        <x:v>Q17</x:v>
      </x:c>
      <x:c r="B173" s="2" t="str">
        <x:v>多选</x:v>
      </x:c>
      <x:c r="C173" s="13" t="str">
        <x:v>成本核算</x:v>
      </x:c>
      <x:c r="D173" s="2" t="str">
        <x:v>选中</x:v>
      </x:c>
      <x:c r="E173" s="11" t="n">
        <x:v>83</x:v>
      </x:c>
      <x:c r="F173" s="11" t="n">
        <x:v>162</x:v>
      </x:c>
      <x:c r="G173" s="12" t="n">
        <x:f>IF(F173=0,"n.a.",E173/F173)</x:f>
        <x:v>0.5123456790123457</x:v>
      </x:c>
      <x:c r="H173" s="13" t="str">
        <x:v>多选：各选项比例之和可超过100%</x:v>
      </x:c>
      <x:c r="I173" s="2" t="str">
        <x:v>数值版 Sheet1!BC2:BJ163</x:v>
      </x:c>
    </x:row>
    <x:row r="174" ht="30" customHeight="1">
      <x:c r="A174" s="2" t="str">
        <x:v>Q17</x:v>
      </x:c>
      <x:c r="B174" s="2" t="str">
        <x:v>多选</x:v>
      </x:c>
      <x:c r="C174" s="13" t="str">
        <x:v>成本核算</x:v>
      </x:c>
      <x:c r="D174" s="2" t="str">
        <x:v>未选中</x:v>
      </x:c>
      <x:c r="E174" s="11" t="n">
        <x:v>79</x:v>
      </x:c>
      <x:c r="F174" s="11" t="n">
        <x:v>162</x:v>
      </x:c>
      <x:c r="G174" s="12" t="n">
        <x:f>IF(F174=0,"n.a.",E174/F174)</x:f>
        <x:v>0.4876543209876543</x:v>
      </x:c>
      <x:c r="H174" s="13" t="str">
        <x:v>未选中不等于缺失</x:v>
      </x:c>
      <x:c r="I174" s="2" t="str">
        <x:v>数值版 Sheet1!BC2:BJ163</x:v>
      </x:c>
    </x:row>
    <x:row r="175" ht="30" customHeight="1">
      <x:c r="A175" s="2" t="str">
        <x:v>Q17</x:v>
      </x:c>
      <x:c r="B175" s="2" t="str">
        <x:v>多选</x:v>
      </x:c>
      <x:c r="C175" s="13" t="str">
        <x:v>信息化与数据工具</x:v>
      </x:c>
      <x:c r="D175" s="2" t="str">
        <x:v>选中</x:v>
      </x:c>
      <x:c r="E175" s="11" t="n">
        <x:v>49</x:v>
      </x:c>
      <x:c r="F175" s="11" t="n">
        <x:v>162</x:v>
      </x:c>
      <x:c r="G175" s="12" t="n">
        <x:f>IF(F175=0,"n.a.",E175/F175)</x:f>
        <x:v>0.30246913580246915</x:v>
      </x:c>
      <x:c r="H175" s="13" t="str">
        <x:v>多选：各选项比例之和可超过100%</x:v>
      </x:c>
      <x:c r="I175" s="2" t="str">
        <x:v>数值版 Sheet1!BC2:BJ163</x:v>
      </x:c>
    </x:row>
    <x:row r="176" ht="30" customHeight="1">
      <x:c r="A176" s="2" t="str">
        <x:v>Q17</x:v>
      </x:c>
      <x:c r="B176" s="2" t="str">
        <x:v>多选</x:v>
      </x:c>
      <x:c r="C176" s="13" t="str">
        <x:v>信息化与数据工具</x:v>
      </x:c>
      <x:c r="D176" s="2" t="str">
        <x:v>未选中</x:v>
      </x:c>
      <x:c r="E176" s="11" t="n">
        <x:v>113</x:v>
      </x:c>
      <x:c r="F176" s="11" t="n">
        <x:v>162</x:v>
      </x:c>
      <x:c r="G176" s="12" t="n">
        <x:f>IF(F176=0,"n.a.",E176/F176)</x:f>
        <x:v>0.6975308641975309</x:v>
      </x:c>
      <x:c r="H176" s="13" t="str">
        <x:v>未选中不等于缺失</x:v>
      </x:c>
      <x:c r="I176" s="2" t="str">
        <x:v>数值版 Sheet1!BC2:BJ163</x:v>
      </x:c>
    </x:row>
    <x:row r="177" ht="30" customHeight="1">
      <x:c r="A177" s="2" t="str">
        <x:v>Q17</x:v>
      </x:c>
      <x:c r="B177" s="2" t="str">
        <x:v>多选</x:v>
      </x:c>
      <x:c r="C177" s="13" t="str">
        <x:v>管理沟通与领导力</x:v>
      </x:c>
      <x:c r="D177" s="2" t="str">
        <x:v>选中</x:v>
      </x:c>
      <x:c r="E177" s="11" t="n">
        <x:v>30</x:v>
      </x:c>
      <x:c r="F177" s="11" t="n">
        <x:v>162</x:v>
      </x:c>
      <x:c r="G177" s="12" t="n">
        <x:f>IF(F177=0,"n.a.",E177/F177)</x:f>
        <x:v>0.18518518518518517</x:v>
      </x:c>
      <x:c r="H177" s="13" t="str">
        <x:v>多选：各选项比例之和可超过100%</x:v>
      </x:c>
      <x:c r="I177" s="2" t="str">
        <x:v>数值版 Sheet1!BC2:BJ163</x:v>
      </x:c>
    </x:row>
    <x:row r="178" ht="30" customHeight="1">
      <x:c r="A178" s="2" t="str">
        <x:v>Q17</x:v>
      </x:c>
      <x:c r="B178" s="2" t="str">
        <x:v>多选</x:v>
      </x:c>
      <x:c r="C178" s="13" t="str">
        <x:v>管理沟通与领导力</x:v>
      </x:c>
      <x:c r="D178" s="2" t="str">
        <x:v>未选中</x:v>
      </x:c>
      <x:c r="E178" s="11" t="n">
        <x:v>132</x:v>
      </x:c>
      <x:c r="F178" s="11" t="n">
        <x:v>162</x:v>
      </x:c>
      <x:c r="G178" s="12" t="n">
        <x:f>IF(F178=0,"n.a.",E178/F178)</x:f>
        <x:v>0.8148148148148148</x:v>
      </x:c>
      <x:c r="H178" s="13" t="str">
        <x:v>未选中不等于缺失</x:v>
      </x:c>
      <x:c r="I178" s="2" t="str">
        <x:v>数值版 Sheet1!BC2:BJ163</x:v>
      </x:c>
    </x:row>
    <x:row r="179" ht="30" customHeight="1">
      <x:c r="A179" s="2" t="str">
        <x:v>Q17</x:v>
      </x:c>
      <x:c r="B179" s="2" t="str">
        <x:v>多选</x:v>
      </x:c>
      <x:c r="C179" s="13" t="str">
        <x:v>政策法规与合规</x:v>
      </x:c>
      <x:c r="D179" s="2" t="str">
        <x:v>选中</x:v>
      </x:c>
      <x:c r="E179" s="11" t="n">
        <x:v>85</x:v>
      </x:c>
      <x:c r="F179" s="11" t="n">
        <x:v>162</x:v>
      </x:c>
      <x:c r="G179" s="12" t="n">
        <x:f>IF(F179=0,"n.a.",E179/F179)</x:f>
        <x:v>0.5246913580246914</x:v>
      </x:c>
      <x:c r="H179" s="13" t="str">
        <x:v>多选：各选项比例之和可超过100%</x:v>
      </x:c>
      <x:c r="I179" s="2" t="str">
        <x:v>数值版 Sheet1!BC2:BJ163</x:v>
      </x:c>
    </x:row>
    <x:row r="180" ht="30" customHeight="1">
      <x:c r="A180" s="2" t="str">
        <x:v>Q17</x:v>
      </x:c>
      <x:c r="B180" s="2" t="str">
        <x:v>多选</x:v>
      </x:c>
      <x:c r="C180" s="13" t="str">
        <x:v>政策法规与合规</x:v>
      </x:c>
      <x:c r="D180" s="2" t="str">
        <x:v>未选中</x:v>
      </x:c>
      <x:c r="E180" s="11" t="n">
        <x:v>77</x:v>
      </x:c>
      <x:c r="F180" s="11" t="n">
        <x:v>162</x:v>
      </x:c>
      <x:c r="G180" s="12" t="n">
        <x:f>IF(F180=0,"n.a.",E180/F180)</x:f>
        <x:v>0.47530864197530864</x:v>
      </x:c>
      <x:c r="H180" s="13" t="str">
        <x:v>未选中不等于缺失</x:v>
      </x:c>
      <x:c r="I180" s="2" t="str">
        <x:v>数值版 Sheet1!BC2:BJ163</x:v>
      </x:c>
    </x:row>
    <x:row r="181" ht="30" customHeight="1">
      <x:c r="A181" s="2" t="str">
        <x:v>Q17</x:v>
      </x:c>
      <x:c r="B181" s="2" t="str">
        <x:v>多选</x:v>
      </x:c>
      <x:c r="C181" s="13" t="str">
        <x:v>其他</x:v>
      </x:c>
      <x:c r="D181" s="2" t="str">
        <x:v>选中</x:v>
      </x:c>
      <x:c r="E181" s="11" t="n">
        <x:v>5</x:v>
      </x:c>
      <x:c r="F181" s="11" t="n">
        <x:v>162</x:v>
      </x:c>
      <x:c r="G181" s="12" t="n">
        <x:f>IF(F181=0,"n.a.",E181/F181)</x:f>
        <x:v>0.030864197530864196</x:v>
      </x:c>
      <x:c r="H181" s="13" t="str">
        <x:v>多选：各选项比例之和可超过100%</x:v>
      </x:c>
      <x:c r="I181" s="2" t="str">
        <x:v>数值版 Sheet1!BC2:BJ163</x:v>
      </x:c>
    </x:row>
    <x:row r="182" ht="30" customHeight="1">
      <x:c r="A182" s="2" t="str">
        <x:v>Q17</x:v>
      </x:c>
      <x:c r="B182" s="2" t="str">
        <x:v>多选</x:v>
      </x:c>
      <x:c r="C182" s="13" t="str">
        <x:v>其他</x:v>
      </x:c>
      <x:c r="D182" s="2" t="str">
        <x:v>未选中</x:v>
      </x:c>
      <x:c r="E182" s="11" t="n">
        <x:v>157</x:v>
      </x:c>
      <x:c r="F182" s="11" t="n">
        <x:v>162</x:v>
      </x:c>
      <x:c r="G182" s="12" t="n">
        <x:f>IF(F182=0,"n.a.",E182/F182)</x:f>
        <x:v>0.9691358024691358</x:v>
      </x:c>
      <x:c r="H182" s="13" t="str">
        <x:v>未选中不等于缺失</x:v>
      </x:c>
      <x:c r="I182" s="2" t="str">
        <x:v>数值版 Sheet1!BC2:BJ163</x:v>
      </x:c>
    </x:row>
    <x:row r="183" ht="30" customHeight="1">
      <x:c r="A183" s="2" t="str">
        <x:v>Q18</x:v>
      </x:c>
      <x:c r="B183" s="2" t="str">
        <x:v>多选</x:v>
      </x:c>
      <x:c r="C183" s="13" t="str">
        <x:v>院内讲座</x:v>
      </x:c>
      <x:c r="D183" s="2" t="str">
        <x:v>选中</x:v>
      </x:c>
      <x:c r="E183" s="11" t="n">
        <x:v>90</x:v>
      </x:c>
      <x:c r="F183" s="11" t="n">
        <x:v>162</x:v>
      </x:c>
      <x:c r="G183" s="12" t="n">
        <x:f>IF(F183=0,"n.a.",E183/F183)</x:f>
        <x:v>0.5555555555555556</x:v>
      </x:c>
      <x:c r="H183" s="13" t="str">
        <x:v>多选：各选项比例之和可超过100%</x:v>
      </x:c>
      <x:c r="I183" s="2" t="str">
        <x:v>数值版 Sheet1!BK2:BQ163</x:v>
      </x:c>
    </x:row>
    <x:row r="184" ht="30" customHeight="1">
      <x:c r="A184" s="2" t="str">
        <x:v>Q18</x:v>
      </x:c>
      <x:c r="B184" s="2" t="str">
        <x:v>多选</x:v>
      </x:c>
      <x:c r="C184" s="13" t="str">
        <x:v>院内讲座</x:v>
      </x:c>
      <x:c r="D184" s="2" t="str">
        <x:v>未选中</x:v>
      </x:c>
      <x:c r="E184" s="11" t="n">
        <x:v>72</x:v>
      </x:c>
      <x:c r="F184" s="11" t="n">
        <x:v>162</x:v>
      </x:c>
      <x:c r="G184" s="12" t="n">
        <x:f>IF(F184=0,"n.a.",E184/F184)</x:f>
        <x:v>0.4444444444444444</x:v>
      </x:c>
      <x:c r="H184" s="13" t="str">
        <x:v>未选中不等于缺失</x:v>
      </x:c>
      <x:c r="I184" s="2" t="str">
        <x:v>数值版 Sheet1!BK2:BQ163</x:v>
      </x:c>
    </x:row>
    <x:row r="185" ht="30" customHeight="1">
      <x:c r="A185" s="2" t="str">
        <x:v>Q18</x:v>
      </x:c>
      <x:c r="B185" s="2" t="str">
        <x:v>多选</x:v>
      </x:c>
      <x:c r="C185" s="13" t="str">
        <x:v>外派短期集中培训</x:v>
      </x:c>
      <x:c r="D185" s="2" t="str">
        <x:v>选中</x:v>
      </x:c>
      <x:c r="E185" s="11" t="n">
        <x:v>122</x:v>
      </x:c>
      <x:c r="F185" s="11" t="n">
        <x:v>162</x:v>
      </x:c>
      <x:c r="G185" s="12" t="n">
        <x:f>IF(F185=0,"n.a.",E185/F185)</x:f>
        <x:v>0.7530864197530864</x:v>
      </x:c>
      <x:c r="H185" s="13" t="str">
        <x:v>多选：各选项比例之和可超过100%</x:v>
      </x:c>
      <x:c r="I185" s="2" t="str">
        <x:v>数值版 Sheet1!BK2:BQ163</x:v>
      </x:c>
    </x:row>
    <x:row r="186" ht="30" customHeight="1">
      <x:c r="A186" s="2" t="str">
        <x:v>Q18</x:v>
      </x:c>
      <x:c r="B186" s="2" t="str">
        <x:v>多选</x:v>
      </x:c>
      <x:c r="C186" s="13" t="str">
        <x:v>外派短期集中培训</x:v>
      </x:c>
      <x:c r="D186" s="2" t="str">
        <x:v>未选中</x:v>
      </x:c>
      <x:c r="E186" s="11" t="n">
        <x:v>40</x:v>
      </x:c>
      <x:c r="F186" s="11" t="n">
        <x:v>162</x:v>
      </x:c>
      <x:c r="G186" s="12" t="n">
        <x:f>IF(F186=0,"n.a.",E186/F186)</x:f>
        <x:v>0.24691358024691357</x:v>
      </x:c>
      <x:c r="H186" s="13" t="str">
        <x:v>未选中不等于缺失</x:v>
      </x:c>
      <x:c r="I186" s="2" t="str">
        <x:v>数值版 Sheet1!BK2:BQ163</x:v>
      </x:c>
    </x:row>
    <x:row r="187" ht="30" customHeight="1">
      <x:c r="A187" s="2" t="str">
        <x:v>Q18</x:v>
      </x:c>
      <x:c r="B187" s="2" t="str">
        <x:v>多选</x:v>
      </x:c>
      <x:c r="C187" s="13" t="str">
        <x:v>学历学位教育</x:v>
      </x:c>
      <x:c r="D187" s="2" t="str">
        <x:v>选中</x:v>
      </x:c>
      <x:c r="E187" s="11" t="n">
        <x:v>55</x:v>
      </x:c>
      <x:c r="F187" s="11" t="n">
        <x:v>162</x:v>
      </x:c>
      <x:c r="G187" s="12" t="n">
        <x:f>IF(F187=0,"n.a.",E187/F187)</x:f>
        <x:v>0.3395061728395062</x:v>
      </x:c>
      <x:c r="H187" s="13" t="str">
        <x:v>多选：各选项比例之和可超过100%</x:v>
      </x:c>
      <x:c r="I187" s="2" t="str">
        <x:v>数值版 Sheet1!BK2:BQ163</x:v>
      </x:c>
    </x:row>
    <x:row r="188" ht="30" customHeight="1">
      <x:c r="A188" s="2" t="str">
        <x:v>Q18</x:v>
      </x:c>
      <x:c r="B188" s="2" t="str">
        <x:v>多选</x:v>
      </x:c>
      <x:c r="C188" s="13" t="str">
        <x:v>学历学位教育</x:v>
      </x:c>
      <x:c r="D188" s="2" t="str">
        <x:v>未选中</x:v>
      </x:c>
      <x:c r="E188" s="11" t="n">
        <x:v>107</x:v>
      </x:c>
      <x:c r="F188" s="11" t="n">
        <x:v>162</x:v>
      </x:c>
      <x:c r="G188" s="12" t="n">
        <x:f>IF(F188=0,"n.a.",E188/F188)</x:f>
        <x:v>0.6604938271604939</x:v>
      </x:c>
      <x:c r="H188" s="13" t="str">
        <x:v>未选中不等于缺失</x:v>
      </x:c>
      <x:c r="I188" s="2" t="str">
        <x:v>数值版 Sheet1!BK2:BQ163</x:v>
      </x:c>
    </x:row>
    <x:row r="189" ht="30" customHeight="1">
      <x:c r="A189" s="2" t="str">
        <x:v>Q18</x:v>
      </x:c>
      <x:c r="B189" s="2" t="str">
        <x:v>多选</x:v>
      </x:c>
      <x:c r="C189" s="13" t="str">
        <x:v>跟岗学习/轮岗</x:v>
      </x:c>
      <x:c r="D189" s="2" t="str">
        <x:v>选中</x:v>
      </x:c>
      <x:c r="E189" s="11" t="n">
        <x:v>70</x:v>
      </x:c>
      <x:c r="F189" s="11" t="n">
        <x:v>162</x:v>
      </x:c>
      <x:c r="G189" s="12" t="n">
        <x:f>IF(F189=0,"n.a.",E189/F189)</x:f>
        <x:v>0.43209876543209874</x:v>
      </x:c>
      <x:c r="H189" s="13" t="str">
        <x:v>多选：各选项比例之和可超过100%</x:v>
      </x:c>
      <x:c r="I189" s="2" t="str">
        <x:v>数值版 Sheet1!BK2:BQ163</x:v>
      </x:c>
    </x:row>
    <x:row r="190" ht="30" customHeight="1">
      <x:c r="A190" s="2" t="str">
        <x:v>Q18</x:v>
      </x:c>
      <x:c r="B190" s="2" t="str">
        <x:v>多选</x:v>
      </x:c>
      <x:c r="C190" s="13" t="str">
        <x:v>跟岗学习/轮岗</x:v>
      </x:c>
      <x:c r="D190" s="2" t="str">
        <x:v>未选中</x:v>
      </x:c>
      <x:c r="E190" s="11" t="n">
        <x:v>92</x:v>
      </x:c>
      <x:c r="F190" s="11" t="n">
        <x:v>162</x:v>
      </x:c>
      <x:c r="G190" s="12" t="n">
        <x:f>IF(F190=0,"n.a.",E190/F190)</x:f>
        <x:v>0.5679012345679012</x:v>
      </x:c>
      <x:c r="H190" s="13" t="str">
        <x:v>未选中不等于缺失</x:v>
      </x:c>
      <x:c r="I190" s="2" t="str">
        <x:v>数值版 Sheet1!BK2:BQ163</x:v>
      </x:c>
    </x:row>
    <x:row r="191" ht="30" customHeight="1">
      <x:c r="A191" s="2" t="str">
        <x:v>Q18</x:v>
      </x:c>
      <x:c r="B191" s="2" t="str">
        <x:v>多选</x:v>
      </x:c>
      <x:c r="C191" s="13" t="str">
        <x:v>线上课程</x:v>
      </x:c>
      <x:c r="D191" s="2" t="str">
        <x:v>选中</x:v>
      </x:c>
      <x:c r="E191" s="11" t="n">
        <x:v>90</x:v>
      </x:c>
      <x:c r="F191" s="11" t="n">
        <x:v>162</x:v>
      </x:c>
      <x:c r="G191" s="12" t="n">
        <x:f>IF(F191=0,"n.a.",E191/F191)</x:f>
        <x:v>0.5555555555555556</x:v>
      </x:c>
      <x:c r="H191" s="13" t="str">
        <x:v>多选：各选项比例之和可超过100%</x:v>
      </x:c>
      <x:c r="I191" s="2" t="str">
        <x:v>数值版 Sheet1!BK2:BQ163</x:v>
      </x:c>
    </x:row>
    <x:row r="192" ht="30" customHeight="1">
      <x:c r="A192" s="2" t="str">
        <x:v>Q18</x:v>
      </x:c>
      <x:c r="B192" s="2" t="str">
        <x:v>多选</x:v>
      </x:c>
      <x:c r="C192" s="13" t="str">
        <x:v>线上课程</x:v>
      </x:c>
      <x:c r="D192" s="2" t="str">
        <x:v>未选中</x:v>
      </x:c>
      <x:c r="E192" s="11" t="n">
        <x:v>72</x:v>
      </x:c>
      <x:c r="F192" s="11" t="n">
        <x:v>162</x:v>
      </x:c>
      <x:c r="G192" s="12" t="n">
        <x:f>IF(F192=0,"n.a.",E192/F192)</x:f>
        <x:v>0.4444444444444444</x:v>
      </x:c>
      <x:c r="H192" s="13" t="str">
        <x:v>未选中不等于缺失</x:v>
      </x:c>
      <x:c r="I192" s="2" t="str">
        <x:v>数值版 Sheet1!BK2:BQ163</x:v>
      </x:c>
    </x:row>
    <x:row r="193" ht="30" customHeight="1">
      <x:c r="A193" s="2" t="str">
        <x:v>Q18</x:v>
      </x:c>
      <x:c r="B193" s="2" t="str">
        <x:v>多选</x:v>
      </x:c>
      <x:c r="C193" s="13" t="str">
        <x:v>导师制带教</x:v>
      </x:c>
      <x:c r="D193" s="2" t="str">
        <x:v>选中</x:v>
      </x:c>
      <x:c r="E193" s="11" t="n">
        <x:v>10</x:v>
      </x:c>
      <x:c r="F193" s="11" t="n">
        <x:v>162</x:v>
      </x:c>
      <x:c r="G193" s="12" t="n">
        <x:f>IF(F193=0,"n.a.",E193/F193)</x:f>
        <x:v>0.06172839506172839</x:v>
      </x:c>
      <x:c r="H193" s="13" t="str">
        <x:v>多选：各选项比例之和可超过100%</x:v>
      </x:c>
      <x:c r="I193" s="2" t="str">
        <x:v>数值版 Sheet1!BK2:BQ163</x:v>
      </x:c>
    </x:row>
    <x:row r="194" ht="30" customHeight="1">
      <x:c r="A194" s="2" t="str">
        <x:v>Q18</x:v>
      </x:c>
      <x:c r="B194" s="2" t="str">
        <x:v>多选</x:v>
      </x:c>
      <x:c r="C194" s="13" t="str">
        <x:v>导师制带教</x:v>
      </x:c>
      <x:c r="D194" s="2" t="str">
        <x:v>未选中</x:v>
      </x:c>
      <x:c r="E194" s="11" t="n">
        <x:v>152</x:v>
      </x:c>
      <x:c r="F194" s="11" t="n">
        <x:v>162</x:v>
      </x:c>
      <x:c r="G194" s="12" t="n">
        <x:f>IF(F194=0,"n.a.",E194/F194)</x:f>
        <x:v>0.9382716049382716</x:v>
      </x:c>
      <x:c r="H194" s="13" t="str">
        <x:v>未选中不等于缺失</x:v>
      </x:c>
      <x:c r="I194" s="2" t="str">
        <x:v>数值版 Sheet1!BK2:BQ163</x:v>
      </x:c>
    </x:row>
    <x:row r="195" ht="30" customHeight="1">
      <x:c r="A195" s="2" t="str">
        <x:v>Q18</x:v>
      </x:c>
      <x:c r="B195" s="2" t="str">
        <x:v>多选</x:v>
      </x:c>
      <x:c r="C195" s="13" t="str">
        <x:v>学术会议与专题研讨</x:v>
      </x:c>
      <x:c r="D195" s="2" t="str">
        <x:v>选中</x:v>
      </x:c>
      <x:c r="E195" s="11" t="n">
        <x:v>67</x:v>
      </x:c>
      <x:c r="F195" s="11" t="n">
        <x:v>162</x:v>
      </x:c>
      <x:c r="G195" s="12" t="n">
        <x:f>IF(F195=0,"n.a.",E195/F195)</x:f>
        <x:v>0.41358024691358025</x:v>
      </x:c>
      <x:c r="H195" s="13" t="str">
        <x:v>多选：各选项比例之和可超过100%</x:v>
      </x:c>
      <x:c r="I195" s="2" t="str">
        <x:v>数值版 Sheet1!BK2:BQ163</x:v>
      </x:c>
    </x:row>
    <x:row r="196" ht="30" customHeight="1">
      <x:c r="A196" s="2" t="str">
        <x:v>Q18</x:v>
      </x:c>
      <x:c r="B196" s="2" t="str">
        <x:v>多选</x:v>
      </x:c>
      <x:c r="C196" s="13" t="str">
        <x:v>学术会议与专题研讨</x:v>
      </x:c>
      <x:c r="D196" s="2" t="str">
        <x:v>未选中</x:v>
      </x:c>
      <x:c r="E196" s="11" t="n">
        <x:v>95</x:v>
      </x:c>
      <x:c r="F196" s="11" t="n">
        <x:v>162</x:v>
      </x:c>
      <x:c r="G196" s="12" t="n">
        <x:f>IF(F196=0,"n.a.",E196/F196)</x:f>
        <x:v>0.5864197530864198</x:v>
      </x:c>
      <x:c r="H196" s="13" t="str">
        <x:v>未选中不等于缺失</x:v>
      </x:c>
      <x:c r="I196" s="2" t="str">
        <x:v>数值版 Sheet1!BK2:BQ163</x:v>
      </x:c>
    </x:row>
    <x:row r="197" ht="30" customHeight="1">
      <x:c r="A197" s="2" t="str">
        <x:v>Q19</x:v>
      </x:c>
      <x:c r="B197" s="2" t="str">
        <x:v>多选</x:v>
      </x:c>
      <x:c r="C197" s="13" t="str">
        <x:v>培训内容脱离医院实务</x:v>
      </x:c>
      <x:c r="D197" s="2" t="str">
        <x:v>选中</x:v>
      </x:c>
      <x:c r="E197" s="11" t="n">
        <x:v>46</x:v>
      </x:c>
      <x:c r="F197" s="11" t="n">
        <x:v>162</x:v>
      </x:c>
      <x:c r="G197" s="12" t="n">
        <x:f>IF(F197=0,"n.a.",E197/F197)</x:f>
        <x:v>0.2839506172839506</x:v>
      </x:c>
      <x:c r="H197" s="13" t="str">
        <x:v>多选：各选项比例之和可超过100%</x:v>
      </x:c>
      <x:c r="I197" s="2" t="str">
        <x:v>数值版 Sheet1!BR2:BZ163</x:v>
      </x:c>
    </x:row>
    <x:row r="198" ht="30" customHeight="1">
      <x:c r="A198" s="2" t="str">
        <x:v>Q19</x:v>
      </x:c>
      <x:c r="B198" s="2" t="str">
        <x:v>多选</x:v>
      </x:c>
      <x:c r="C198" s="13" t="str">
        <x:v>培训内容脱离医院实务</x:v>
      </x:c>
      <x:c r="D198" s="2" t="str">
        <x:v>未选中</x:v>
      </x:c>
      <x:c r="E198" s="11" t="n">
        <x:v>116</x:v>
      </x:c>
      <x:c r="F198" s="11" t="n">
        <x:v>162</x:v>
      </x:c>
      <x:c r="G198" s="12" t="n">
        <x:f>IF(F198=0,"n.a.",E198/F198)</x:f>
        <x:v>0.7160493827160493</x:v>
      </x:c>
      <x:c r="H198" s="13" t="str">
        <x:v>未选中不等于缺失</x:v>
      </x:c>
      <x:c r="I198" s="2" t="str">
        <x:v>数值版 Sheet1!BR2:BZ163</x:v>
      </x:c>
    </x:row>
    <x:row r="199" ht="30" customHeight="1">
      <x:c r="A199" s="2" t="str">
        <x:v>Q19</x:v>
      </x:c>
      <x:c r="B199" s="2" t="str">
        <x:v>多选</x:v>
      </x:c>
      <x:c r="C199" s="13" t="str">
        <x:v>短期集中为主、缺乏跟踪管理</x:v>
      </x:c>
      <x:c r="D199" s="2" t="str">
        <x:v>选中</x:v>
      </x:c>
      <x:c r="E199" s="11" t="n">
        <x:v>108</x:v>
      </x:c>
      <x:c r="F199" s="11" t="n">
        <x:v>162</x:v>
      </x:c>
      <x:c r="G199" s="12" t="n">
        <x:f>IF(F199=0,"n.a.",E199/F199)</x:f>
        <x:v>0.6666666666666666</x:v>
      </x:c>
      <x:c r="H199" s="13" t="str">
        <x:v>多选：各选项比例之和可超过100%</x:v>
      </x:c>
      <x:c r="I199" s="2" t="str">
        <x:v>数值版 Sheet1!BR2:BZ163</x:v>
      </x:c>
    </x:row>
    <x:row r="200" ht="30" customHeight="1">
      <x:c r="A200" s="2" t="str">
        <x:v>Q19</x:v>
      </x:c>
      <x:c r="B200" s="2" t="str">
        <x:v>多选</x:v>
      </x:c>
      <x:c r="C200" s="13" t="str">
        <x:v>短期集中为主、缺乏跟踪管理</x:v>
      </x:c>
      <x:c r="D200" s="2" t="str">
        <x:v>未选中</x:v>
      </x:c>
      <x:c r="E200" s="11" t="n">
        <x:v>54</x:v>
      </x:c>
      <x:c r="F200" s="11" t="n">
        <x:v>162</x:v>
      </x:c>
      <x:c r="G200" s="12" t="n">
        <x:f>IF(F200=0,"n.a.",E200/F200)</x:f>
        <x:v>0.3333333333333333</x:v>
      </x:c>
      <x:c r="H200" s="13" t="str">
        <x:v>未选中不等于缺失</x:v>
      </x:c>
      <x:c r="I200" s="2" t="str">
        <x:v>数值版 Sheet1!BR2:BZ163</x:v>
      </x:c>
    </x:row>
    <x:row r="201" ht="30" customHeight="1">
      <x:c r="A201" s="2" t="str">
        <x:v>Q19</x:v>
      </x:c>
      <x:c r="B201" s="2" t="str">
        <x:v>多选</x:v>
      </x:c>
      <x:c r="C201" s="13" t="str">
        <x:v>缺乏效果评估机制</x:v>
      </x:c>
      <x:c r="D201" s="2" t="str">
        <x:v>选中</x:v>
      </x:c>
      <x:c r="E201" s="11" t="n">
        <x:v>70</x:v>
      </x:c>
      <x:c r="F201" s="11" t="n">
        <x:v>162</x:v>
      </x:c>
      <x:c r="G201" s="12" t="n">
        <x:f>IF(F201=0,"n.a.",E201/F201)</x:f>
        <x:v>0.43209876543209874</x:v>
      </x:c>
      <x:c r="H201" s="13" t="str">
        <x:v>多选：各选项比例之和可超过100%</x:v>
      </x:c>
      <x:c r="I201" s="2" t="str">
        <x:v>数值版 Sheet1!BR2:BZ163</x:v>
      </x:c>
    </x:row>
    <x:row r="202" ht="30" customHeight="1">
      <x:c r="A202" s="2" t="str">
        <x:v>Q19</x:v>
      </x:c>
      <x:c r="B202" s="2" t="str">
        <x:v>多选</x:v>
      </x:c>
      <x:c r="C202" s="13" t="str">
        <x:v>缺乏效果评估机制</x:v>
      </x:c>
      <x:c r="D202" s="2" t="str">
        <x:v>未选中</x:v>
      </x:c>
      <x:c r="E202" s="11" t="n">
        <x:v>92</x:v>
      </x:c>
      <x:c r="F202" s="11" t="n">
        <x:v>162</x:v>
      </x:c>
      <x:c r="G202" s="12" t="n">
        <x:f>IF(F202=0,"n.a.",E202/F202)</x:f>
        <x:v>0.5679012345679012</x:v>
      </x:c>
      <x:c r="H202" s="13" t="str">
        <x:v>未选中不等于缺失</x:v>
      </x:c>
      <x:c r="I202" s="2" t="str">
        <x:v>数值版 Sheet1!BR2:BZ163</x:v>
      </x:c>
    </x:row>
    <x:row r="203" ht="30" customHeight="1">
      <x:c r="A203" s="2" t="str">
        <x:v>Q19</x:v>
      </x:c>
      <x:c r="B203" s="2" t="str">
        <x:v>多选</x:v>
      </x:c>
      <x:c r="C203" s="13" t="str">
        <x:v>分层分类不够、针对性不强</x:v>
      </x:c>
      <x:c r="D203" s="2" t="str">
        <x:v>选中</x:v>
      </x:c>
      <x:c r="E203" s="11" t="n">
        <x:v>82</x:v>
      </x:c>
      <x:c r="F203" s="11" t="n">
        <x:v>162</x:v>
      </x:c>
      <x:c r="G203" s="12" t="n">
        <x:f>IF(F203=0,"n.a.",E203/F203)</x:f>
        <x:v>0.5061728395061729</x:v>
      </x:c>
      <x:c r="H203" s="13" t="str">
        <x:v>多选：各选项比例之和可超过100%</x:v>
      </x:c>
      <x:c r="I203" s="2" t="str">
        <x:v>数值版 Sheet1!BR2:BZ163</x:v>
      </x:c>
    </x:row>
    <x:row r="204" ht="30" customHeight="1">
      <x:c r="A204" s="2" t="str">
        <x:v>Q19</x:v>
      </x:c>
      <x:c r="B204" s="2" t="str">
        <x:v>多选</x:v>
      </x:c>
      <x:c r="C204" s="13" t="str">
        <x:v>分层分类不够、针对性不强</x:v>
      </x:c>
      <x:c r="D204" s="2" t="str">
        <x:v>未选中</x:v>
      </x:c>
      <x:c r="E204" s="11" t="n">
        <x:v>80</x:v>
      </x:c>
      <x:c r="F204" s="11" t="n">
        <x:v>162</x:v>
      </x:c>
      <x:c r="G204" s="12" t="n">
        <x:f>IF(F204=0,"n.a.",E204/F204)</x:f>
        <x:v>0.49382716049382713</x:v>
      </x:c>
      <x:c r="H204" s="13" t="str">
        <x:v>未选中不等于缺失</x:v>
      </x:c>
      <x:c r="I204" s="2" t="str">
        <x:v>数值版 Sheet1!BR2:BZ163</x:v>
      </x:c>
    </x:row>
    <x:row r="205" ht="30" customHeight="1">
      <x:c r="A205" s="2" t="str">
        <x:v>Q19</x:v>
      </x:c>
      <x:c r="B205" s="2" t="str">
        <x:v>多选</x:v>
      </x:c>
      <x:c r="C205" s="13" t="str">
        <x:v>师资力量不足</x:v>
      </x:c>
      <x:c r="D205" s="2" t="str">
        <x:v>选中</x:v>
      </x:c>
      <x:c r="E205" s="11" t="n">
        <x:v>18</x:v>
      </x:c>
      <x:c r="F205" s="11" t="n">
        <x:v>162</x:v>
      </x:c>
      <x:c r="G205" s="12" t="n">
        <x:f>IF(F205=0,"n.a.",E205/F205)</x:f>
        <x:v>0.1111111111111111</x:v>
      </x:c>
      <x:c r="H205" s="13" t="str">
        <x:v>多选：各选项比例之和可超过100%</x:v>
      </x:c>
      <x:c r="I205" s="2" t="str">
        <x:v>数值版 Sheet1!BR2:BZ163</x:v>
      </x:c>
    </x:row>
    <x:row r="206" ht="30" customHeight="1">
      <x:c r="A206" s="2" t="str">
        <x:v>Q19</x:v>
      </x:c>
      <x:c r="B206" s="2" t="str">
        <x:v>多选</x:v>
      </x:c>
      <x:c r="C206" s="13" t="str">
        <x:v>师资力量不足</x:v>
      </x:c>
      <x:c r="D206" s="2" t="str">
        <x:v>未选中</x:v>
      </x:c>
      <x:c r="E206" s="11" t="n">
        <x:v>144</x:v>
      </x:c>
      <x:c r="F206" s="11" t="n">
        <x:v>162</x:v>
      </x:c>
      <x:c r="G206" s="12" t="n">
        <x:f>IF(F206=0,"n.a.",E206/F206)</x:f>
        <x:v>0.8888888888888888</x:v>
      </x:c>
      <x:c r="H206" s="13" t="str">
        <x:v>未选中不等于缺失</x:v>
      </x:c>
      <x:c r="I206" s="2" t="str">
        <x:v>数值版 Sheet1!BR2:BZ163</x:v>
      </x:c>
    </x:row>
    <x:row r="207" ht="30" customHeight="1">
      <x:c r="A207" s="2" t="str">
        <x:v>Q19</x:v>
      </x:c>
      <x:c r="B207" s="2" t="str">
        <x:v>多选</x:v>
      </x:c>
      <x:c r="C207" s="13" t="str">
        <x:v>工作学习矛盾突出、时间难保障</x:v>
      </x:c>
      <x:c r="D207" s="2" t="str">
        <x:v>选中</x:v>
      </x:c>
      <x:c r="E207" s="11" t="n">
        <x:v>70</x:v>
      </x:c>
      <x:c r="F207" s="11" t="n">
        <x:v>162</x:v>
      </x:c>
      <x:c r="G207" s="12" t="n">
        <x:f>IF(F207=0,"n.a.",E207/F207)</x:f>
        <x:v>0.43209876543209874</x:v>
      </x:c>
      <x:c r="H207" s="13" t="str">
        <x:v>多选：各选项比例之和可超过100%</x:v>
      </x:c>
      <x:c r="I207" s="2" t="str">
        <x:v>数值版 Sheet1!BR2:BZ163</x:v>
      </x:c>
    </x:row>
    <x:row r="208" ht="30" customHeight="1">
      <x:c r="A208" s="2" t="str">
        <x:v>Q19</x:v>
      </x:c>
      <x:c r="B208" s="2" t="str">
        <x:v>多选</x:v>
      </x:c>
      <x:c r="C208" s="13" t="str">
        <x:v>工作学习矛盾突出、时间难保障</x:v>
      </x:c>
      <x:c r="D208" s="2" t="str">
        <x:v>未选中</x:v>
      </x:c>
      <x:c r="E208" s="11" t="n">
        <x:v>92</x:v>
      </x:c>
      <x:c r="F208" s="11" t="n">
        <x:v>162</x:v>
      </x:c>
      <x:c r="G208" s="12" t="n">
        <x:f>IF(F208=0,"n.a.",E208/F208)</x:f>
        <x:v>0.5679012345679012</x:v>
      </x:c>
      <x:c r="H208" s="13" t="str">
        <x:v>未选中不等于缺失</x:v>
      </x:c>
      <x:c r="I208" s="2" t="str">
        <x:v>数值版 Sheet1!BR2:BZ163</x:v>
      </x:c>
    </x:row>
    <x:row r="209" ht="30" customHeight="1">
      <x:c r="A209" s="2" t="str">
        <x:v>Q19</x:v>
      </x:c>
      <x:c r="B209" s="2" t="str">
        <x:v>多选</x:v>
      </x:c>
      <x:c r="C209" s="13" t="str">
        <x:v>缺乏考核激励、学用脱节</x:v>
      </x:c>
      <x:c r="D209" s="2" t="str">
        <x:v>选中</x:v>
      </x:c>
      <x:c r="E209" s="11" t="n">
        <x:v>53</x:v>
      </x:c>
      <x:c r="F209" s="11" t="n">
        <x:v>162</x:v>
      </x:c>
      <x:c r="G209" s="12" t="n">
        <x:f>IF(F209=0,"n.a.",E209/F209)</x:f>
        <x:v>0.3271604938271605</x:v>
      </x:c>
      <x:c r="H209" s="13" t="str">
        <x:v>多选：各选项比例之和可超过100%</x:v>
      </x:c>
      <x:c r="I209" s="2" t="str">
        <x:v>数值版 Sheet1!BR2:BZ163</x:v>
      </x:c>
    </x:row>
    <x:row r="210" ht="30" customHeight="1">
      <x:c r="A210" s="2" t="str">
        <x:v>Q19</x:v>
      </x:c>
      <x:c r="B210" s="2" t="str">
        <x:v>多选</x:v>
      </x:c>
      <x:c r="C210" s="13" t="str">
        <x:v>缺乏考核激励、学用脱节</x:v>
      </x:c>
      <x:c r="D210" s="2" t="str">
        <x:v>未选中</x:v>
      </x:c>
      <x:c r="E210" s="11" t="n">
        <x:v>109</x:v>
      </x:c>
      <x:c r="F210" s="11" t="n">
        <x:v>162</x:v>
      </x:c>
      <x:c r="G210" s="12" t="n">
        <x:f>IF(F210=0,"n.a.",E210/F210)</x:f>
        <x:v>0.6728395061728395</x:v>
      </x:c>
      <x:c r="H210" s="13" t="str">
        <x:v>未选中不等于缺失</x:v>
      </x:c>
      <x:c r="I210" s="2" t="str">
        <x:v>数值版 Sheet1!BR2:BZ163</x:v>
      </x:c>
    </x:row>
    <x:row r="211" ht="30" customHeight="1">
      <x:c r="A211" s="2" t="str">
        <x:v>Q19</x:v>
      </x:c>
      <x:c r="B211" s="2" t="str">
        <x:v>多选</x:v>
      </x:c>
      <x:c r="C211" s="13" t="str">
        <x:v>经费投入不足</x:v>
      </x:c>
      <x:c r="D211" s="2" t="str">
        <x:v>选中</x:v>
      </x:c>
      <x:c r="E211" s="11" t="n">
        <x:v>36</x:v>
      </x:c>
      <x:c r="F211" s="11" t="n">
        <x:v>162</x:v>
      </x:c>
      <x:c r="G211" s="12" t="n">
        <x:f>IF(F211=0,"n.a.",E211/F211)</x:f>
        <x:v>0.2222222222222222</x:v>
      </x:c>
      <x:c r="H211" s="13" t="str">
        <x:v>多选：各选项比例之和可超过100%</x:v>
      </x:c>
      <x:c r="I211" s="2" t="str">
        <x:v>数值版 Sheet1!BR2:BZ163</x:v>
      </x:c>
    </x:row>
    <x:row r="212" ht="30" customHeight="1">
      <x:c r="A212" s="2" t="str">
        <x:v>Q19</x:v>
      </x:c>
      <x:c r="B212" s="2" t="str">
        <x:v>多选</x:v>
      </x:c>
      <x:c r="C212" s="13" t="str">
        <x:v>经费投入不足</x:v>
      </x:c>
      <x:c r="D212" s="2" t="str">
        <x:v>未选中</x:v>
      </x:c>
      <x:c r="E212" s="11" t="n">
        <x:v>126</x:v>
      </x:c>
      <x:c r="F212" s="11" t="n">
        <x:v>162</x:v>
      </x:c>
      <x:c r="G212" s="12" t="n">
        <x:f>IF(F212=0,"n.a.",E212/F212)</x:f>
        <x:v>0.7777777777777778</x:v>
      </x:c>
      <x:c r="H212" s="13" t="str">
        <x:v>未选中不等于缺失</x:v>
      </x:c>
      <x:c r="I212" s="2" t="str">
        <x:v>数值版 Sheet1!BR2:BZ163</x:v>
      </x:c>
    </x:row>
    <x:row r="213" ht="30" customHeight="1">
      <x:c r="A213" s="2" t="str">
        <x:v>Q19</x:v>
      </x:c>
      <x:c r="B213" s="2" t="str">
        <x:v>多选</x:v>
      </x:c>
      <x:c r="C213" s="13" t="str">
        <x:v>其他</x:v>
      </x:c>
      <x:c r="D213" s="2" t="str">
        <x:v>选中</x:v>
      </x:c>
      <x:c r="E213" s="11" t="n">
        <x:v>0</x:v>
      </x:c>
      <x:c r="F213" s="11" t="n">
        <x:v>162</x:v>
      </x:c>
      <x:c r="G213" s="12" t="n">
        <x:f>IF(F213=0,"n.a.",E213/F213)</x:f>
        <x:v>0</x:v>
      </x:c>
      <x:c r="H213" s="13" t="str">
        <x:v>多选：各选项比例之和可超过100%</x:v>
      </x:c>
      <x:c r="I213" s="2" t="str">
        <x:v>数值版 Sheet1!BR2:BZ163</x:v>
      </x:c>
    </x:row>
    <x:row r="214" ht="30" customHeight="1">
      <x:c r="A214" s="2" t="str">
        <x:v>Q19</x:v>
      </x:c>
      <x:c r="B214" s="2" t="str">
        <x:v>多选</x:v>
      </x:c>
      <x:c r="C214" s="13" t="str">
        <x:v>其他</x:v>
      </x:c>
      <x:c r="D214" s="2" t="str">
        <x:v>未选中</x:v>
      </x:c>
      <x:c r="E214" s="11" t="n">
        <x:v>162</x:v>
      </x:c>
      <x:c r="F214" s="11" t="n">
        <x:v>162</x:v>
      </x:c>
      <x:c r="G214" s="12" t="n">
        <x:f>IF(F214=0,"n.a.",E214/F214)</x:f>
        <x:v>1</x:v>
      </x:c>
      <x:c r="H214" s="13" t="str">
        <x:v>未选中不等于缺失</x:v>
      </x:c>
      <x:c r="I214" s="2" t="str">
        <x:v>数值版 Sheet1!BR2:BZ163</x:v>
      </x:c>
    </x:row>
    <x:row r="215" ht="30" customHeight="1">
      <x:c r="A215" s="2" t="str">
        <x:v>Q20</x:v>
      </x:c>
      <x:c r="B215" s="2" t="str">
        <x:v>单选</x:v>
      </x:c>
      <x:c r="C215" s="13" t="str">
        <x:v>尚未起步</x:v>
      </x:c>
      <x:c r="D215" s="2" t="str">
        <x:v>1</x:v>
      </x:c>
      <x:c r="E215" s="11" t="n">
        <x:v>7</x:v>
      </x:c>
      <x:c r="F215" s="11" t="n">
        <x:v>162</x:v>
      </x:c>
      <x:c r="G215" s="12" t="n">
        <x:f>IF(F215=0,"n.a.",E215/F215)</x:f>
        <x:v>0.043209876543209874</x:v>
      </x:c>
      <x:c r="H215" s="13" t="str">
        <x:v>选项人数/该题有效答卷数</x:v>
      </x:c>
      <x:c r="I215" s="2" t="str">
        <x:v>数值版 Sheet1!CA2:CA163</x:v>
      </x:c>
    </x:row>
    <x:row r="216" ht="30" customHeight="1">
      <x:c r="A216" s="2" t="str">
        <x:v>Q20</x:v>
      </x:c>
      <x:c r="B216" s="2" t="str">
        <x:v>单选</x:v>
      </x:c>
      <x:c r="C216" s="13" t="str">
        <x:v>试点探索</x:v>
      </x:c>
      <x:c r="D216" s="2" t="str">
        <x:v>2</x:v>
      </x:c>
      <x:c r="E216" s="11" t="n">
        <x:v>35</x:v>
      </x:c>
      <x:c r="F216" s="11" t="n">
        <x:v>162</x:v>
      </x:c>
      <x:c r="G216" s="12" t="n">
        <x:f>IF(F216=0,"n.a.",E216/F216)</x:f>
        <x:v>0.21604938271604937</x:v>
      </x:c>
      <x:c r="H216" s="13" t="str">
        <x:v>选项人数/该题有效答卷数</x:v>
      </x:c>
      <x:c r="I216" s="2" t="str">
        <x:v>数值版 Sheet1!CA2:CA163</x:v>
      </x:c>
    </x:row>
    <x:row r="217" ht="30" customHeight="1">
      <x:c r="A217" s="2" t="str">
        <x:v>Q20</x:v>
      </x:c>
      <x:c r="B217" s="2" t="str">
        <x:v>单选</x:v>
      </x:c>
      <x:c r="C217" s="13" t="str">
        <x:v>部分领域推进</x:v>
      </x:c>
      <x:c r="D217" s="2" t="str">
        <x:v>3</x:v>
      </x:c>
      <x:c r="E217" s="11" t="n">
        <x:v>84</x:v>
      </x:c>
      <x:c r="F217" s="11" t="n">
        <x:v>162</x:v>
      </x:c>
      <x:c r="G217" s="12" t="n">
        <x:f>IF(F217=0,"n.a.",E217/F217)</x:f>
        <x:v>0.5185185185185185</x:v>
      </x:c>
      <x:c r="H217" s="13" t="str">
        <x:v>选项人数/该题有效答卷数</x:v>
      </x:c>
      <x:c r="I217" s="2" t="str">
        <x:v>数值版 Sheet1!CA2:CA163</x:v>
      </x:c>
    </x:row>
    <x:row r="218" ht="30" customHeight="1">
      <x:c r="A218" s="2" t="str">
        <x:v>Q20</x:v>
      </x:c>
      <x:c r="B218" s="2" t="str">
        <x:v>单选</x:v>
      </x:c>
      <x:c r="C218" s="13" t="str">
        <x:v>全面推进</x:v>
      </x:c>
      <x:c r="D218" s="2" t="str">
        <x:v>4</x:v>
      </x:c>
      <x:c r="E218" s="11" t="n">
        <x:v>31</x:v>
      </x:c>
      <x:c r="F218" s="11" t="n">
        <x:v>162</x:v>
      </x:c>
      <x:c r="G218" s="12" t="n">
        <x:f>IF(F218=0,"n.a.",E218/F218)</x:f>
        <x:v>0.19135802469135801</x:v>
      </x:c>
      <x:c r="H218" s="13" t="str">
        <x:v>选项人数/该题有效答卷数</x:v>
      </x:c>
      <x:c r="I218" s="2" t="str">
        <x:v>数值版 Sheet1!CA2:CA163</x:v>
      </x:c>
    </x:row>
    <x:row r="219" ht="30" customHeight="1">
      <x:c r="A219" s="2" t="str">
        <x:v>Q20</x:v>
      </x:c>
      <x:c r="B219" s="2" t="str">
        <x:v>单选</x:v>
      </x:c>
      <x:c r="C219" s="13" t="str">
        <x:v>深度融合发展</x:v>
      </x:c>
      <x:c r="D219" s="2" t="str">
        <x:v>5</x:v>
      </x:c>
      <x:c r="E219" s="11" t="n">
        <x:v>5</x:v>
      </x:c>
      <x:c r="F219" s="11" t="n">
        <x:v>162</x:v>
      </x:c>
      <x:c r="G219" s="12" t="n">
        <x:f>IF(F219=0,"n.a.",E219/F219)</x:f>
        <x:v>0.030864197530864196</x:v>
      </x:c>
      <x:c r="H219" s="13" t="str">
        <x:v>选项人数/该题有效答卷数</x:v>
      </x:c>
      <x:c r="I219" s="2" t="str">
        <x:v>数值版 Sheet1!CA2:CA163</x:v>
      </x:c>
    </x:row>
    <x:row r="220" ht="30" customHeight="1">
      <x:c r="A220" s="2" t="str">
        <x:v>Q21</x:v>
      </x:c>
      <x:c r="B220" s="2" t="str">
        <x:v>多选</x:v>
      </x:c>
      <x:c r="C220" s="13" t="str">
        <x:v>DRG/DIP医保支付方式改革</x:v>
      </x:c>
      <x:c r="D220" s="2" t="str">
        <x:v>选中</x:v>
      </x:c>
      <x:c r="E220" s="11" t="n">
        <x:v>109</x:v>
      </x:c>
      <x:c r="F220" s="11" t="n">
        <x:v>162</x:v>
      </x:c>
      <x:c r="G220" s="12" t="n">
        <x:f>IF(F220=0,"n.a.",E220/F220)</x:f>
        <x:v>0.6728395061728395</x:v>
      </x:c>
      <x:c r="H220" s="13" t="str">
        <x:v>多选：各选项比例之和可超过100%</x:v>
      </x:c>
      <x:c r="I220" s="2" t="str">
        <x:v>数值版 Sheet1!CB2:CH163</x:v>
      </x:c>
    </x:row>
    <x:row r="221" ht="30" customHeight="1">
      <x:c r="A221" s="2" t="str">
        <x:v>Q21</x:v>
      </x:c>
      <x:c r="B221" s="2" t="str">
        <x:v>多选</x:v>
      </x:c>
      <x:c r="C221" s="13" t="str">
        <x:v>DRG/DIP医保支付方式改革</x:v>
      </x:c>
      <x:c r="D221" s="2" t="str">
        <x:v>未选中</x:v>
      </x:c>
      <x:c r="E221" s="11" t="n">
        <x:v>53</x:v>
      </x:c>
      <x:c r="F221" s="11" t="n">
        <x:v>162</x:v>
      </x:c>
      <x:c r="G221" s="12" t="n">
        <x:f>IF(F221=0,"n.a.",E221/F221)</x:f>
        <x:v>0.3271604938271605</x:v>
      </x:c>
      <x:c r="H221" s="13" t="str">
        <x:v>未选中不等于缺失</x:v>
      </x:c>
      <x:c r="I221" s="2" t="str">
        <x:v>数值版 Sheet1!CB2:CH163</x:v>
      </x:c>
    </x:row>
    <x:row r="222" ht="30" customHeight="1">
      <x:c r="A222" s="2" t="str">
        <x:v>Q21</x:v>
      </x:c>
      <x:c r="B222" s="2" t="str">
        <x:v>多选</x:v>
      </x:c>
      <x:c r="C222" s="13" t="str">
        <x:v>全面预算管理</x:v>
      </x:c>
      <x:c r="D222" s="2" t="str">
        <x:v>选中</x:v>
      </x:c>
      <x:c r="E222" s="11" t="n">
        <x:v>127</x:v>
      </x:c>
      <x:c r="F222" s="11" t="n">
        <x:v>162</x:v>
      </x:c>
      <x:c r="G222" s="12" t="n">
        <x:f>IF(F222=0,"n.a.",E222/F222)</x:f>
        <x:v>0.7839506172839507</x:v>
      </x:c>
      <x:c r="H222" s="13" t="str">
        <x:v>多选：各选项比例之和可超过100%</x:v>
      </x:c>
      <x:c r="I222" s="2" t="str">
        <x:v>数值版 Sheet1!CB2:CH163</x:v>
      </x:c>
    </x:row>
    <x:row r="223" ht="30" customHeight="1">
      <x:c r="A223" s="2" t="str">
        <x:v>Q21</x:v>
      </x:c>
      <x:c r="B223" s="2" t="str">
        <x:v>多选</x:v>
      </x:c>
      <x:c r="C223" s="13" t="str">
        <x:v>全面预算管理</x:v>
      </x:c>
      <x:c r="D223" s="2" t="str">
        <x:v>未选中</x:v>
      </x:c>
      <x:c r="E223" s="11" t="n">
        <x:v>35</x:v>
      </x:c>
      <x:c r="F223" s="11" t="n">
        <x:v>162</x:v>
      </x:c>
      <x:c r="G223" s="12" t="n">
        <x:f>IF(F223=0,"n.a.",E223/F223)</x:f>
        <x:v>0.21604938271604937</x:v>
      </x:c>
      <x:c r="H223" s="13" t="str">
        <x:v>未选中不等于缺失</x:v>
      </x:c>
      <x:c r="I223" s="2" t="str">
        <x:v>数值版 Sheet1!CB2:CH163</x:v>
      </x:c>
    </x:row>
    <x:row r="224" ht="30" customHeight="1">
      <x:c r="A224" s="2" t="str">
        <x:v>Q21</x:v>
      </x:c>
      <x:c r="B224" s="2" t="str">
        <x:v>多选</x:v>
      </x:c>
      <x:c r="C224" s="13" t="str">
        <x:v>全成本核算</x:v>
      </x:c>
      <x:c r="D224" s="2" t="str">
        <x:v>选中</x:v>
      </x:c>
      <x:c r="E224" s="11" t="n">
        <x:v>102</x:v>
      </x:c>
      <x:c r="F224" s="11" t="n">
        <x:v>162</x:v>
      </x:c>
      <x:c r="G224" s="12" t="n">
        <x:f>IF(F224=0,"n.a.",E224/F224)</x:f>
        <x:v>0.6296296296296297</x:v>
      </x:c>
      <x:c r="H224" s="13" t="str">
        <x:v>多选：各选项比例之和可超过100%</x:v>
      </x:c>
      <x:c r="I224" s="2" t="str">
        <x:v>数值版 Sheet1!CB2:CH163</x:v>
      </x:c>
    </x:row>
    <x:row r="225" ht="30" customHeight="1">
      <x:c r="A225" s="2" t="str">
        <x:v>Q21</x:v>
      </x:c>
      <x:c r="B225" s="2" t="str">
        <x:v>多选</x:v>
      </x:c>
      <x:c r="C225" s="13" t="str">
        <x:v>全成本核算</x:v>
      </x:c>
      <x:c r="D225" s="2" t="str">
        <x:v>未选中</x:v>
      </x:c>
      <x:c r="E225" s="11" t="n">
        <x:v>60</x:v>
      </x:c>
      <x:c r="F225" s="11" t="n">
        <x:v>162</x:v>
      </x:c>
      <x:c r="G225" s="12" t="n">
        <x:f>IF(F225=0,"n.a.",E225/F225)</x:f>
        <x:v>0.37037037037037035</x:v>
      </x:c>
      <x:c r="H225" s="13" t="str">
        <x:v>未选中不等于缺失</x:v>
      </x:c>
      <x:c r="I225" s="2" t="str">
        <x:v>数值版 Sheet1!CB2:CH163</x:v>
      </x:c>
    </x:row>
    <x:row r="226" ht="30" customHeight="1">
      <x:c r="A226" s="2" t="str">
        <x:v>Q21</x:v>
      </x:c>
      <x:c r="B226" s="2" t="str">
        <x:v>多选</x:v>
      </x:c>
      <x:c r="C226" s="13" t="str">
        <x:v>公立医院绩效考核</x:v>
      </x:c>
      <x:c r="D226" s="2" t="str">
        <x:v>选中</x:v>
      </x:c>
      <x:c r="E226" s="11" t="n">
        <x:v>121</x:v>
      </x:c>
      <x:c r="F226" s="11" t="n">
        <x:v>162</x:v>
      </x:c>
      <x:c r="G226" s="12" t="n">
        <x:f>IF(F226=0,"n.a.",E226/F226)</x:f>
        <x:v>0.7469135802469136</x:v>
      </x:c>
      <x:c r="H226" s="13" t="str">
        <x:v>多选：各选项比例之和可超过100%</x:v>
      </x:c>
      <x:c r="I226" s="2" t="str">
        <x:v>数值版 Sheet1!CB2:CH163</x:v>
      </x:c>
    </x:row>
    <x:row r="227" ht="30" customHeight="1">
      <x:c r="A227" s="2" t="str">
        <x:v>Q21</x:v>
      </x:c>
      <x:c r="B227" s="2" t="str">
        <x:v>多选</x:v>
      </x:c>
      <x:c r="C227" s="13" t="str">
        <x:v>公立医院绩效考核</x:v>
      </x:c>
      <x:c r="D227" s="2" t="str">
        <x:v>未选中</x:v>
      </x:c>
      <x:c r="E227" s="11" t="n">
        <x:v>41</x:v>
      </x:c>
      <x:c r="F227" s="11" t="n">
        <x:v>162</x:v>
      </x:c>
      <x:c r="G227" s="12" t="n">
        <x:f>IF(F227=0,"n.a.",E227/F227)</x:f>
        <x:v>0.25308641975308643</x:v>
      </x:c>
      <x:c r="H227" s="13" t="str">
        <x:v>未选中不等于缺失</x:v>
      </x:c>
      <x:c r="I227" s="2" t="str">
        <x:v>数值版 Sheet1!CB2:CH163</x:v>
      </x:c>
    </x:row>
    <x:row r="228" ht="30" customHeight="1">
      <x:c r="A228" s="2" t="str">
        <x:v>Q21</x:v>
      </x:c>
      <x:c r="B228" s="2" t="str">
        <x:v>多选</x:v>
      </x:c>
      <x:c r="C228" s="13" t="str">
        <x:v>内部控制建设与财会监督</x:v>
      </x:c>
      <x:c r="D228" s="2" t="str">
        <x:v>选中</x:v>
      </x:c>
      <x:c r="E228" s="11" t="n">
        <x:v>101</x:v>
      </x:c>
      <x:c r="F228" s="11" t="n">
        <x:v>162</x:v>
      </x:c>
      <x:c r="G228" s="12" t="n">
        <x:f>IF(F228=0,"n.a.",E228/F228)</x:f>
        <x:v>0.6234567901234568</x:v>
      </x:c>
      <x:c r="H228" s="13" t="str">
        <x:v>多选：各选项比例之和可超过100%</x:v>
      </x:c>
      <x:c r="I228" s="2" t="str">
        <x:v>数值版 Sheet1!CB2:CH163</x:v>
      </x:c>
    </x:row>
    <x:row r="229" ht="30" customHeight="1">
      <x:c r="A229" s="2" t="str">
        <x:v>Q21</x:v>
      </x:c>
      <x:c r="B229" s="2" t="str">
        <x:v>多选</x:v>
      </x:c>
      <x:c r="C229" s="13" t="str">
        <x:v>内部控制建设与财会监督</x:v>
      </x:c>
      <x:c r="D229" s="2" t="str">
        <x:v>未选中</x:v>
      </x:c>
      <x:c r="E229" s="11" t="n">
        <x:v>61</x:v>
      </x:c>
      <x:c r="F229" s="11" t="n">
        <x:v>162</x:v>
      </x:c>
      <x:c r="G229" s="12" t="n">
        <x:f>IF(F229=0,"n.a.",E229/F229)</x:f>
        <x:v>0.3765432098765432</x:v>
      </x:c>
      <x:c r="H229" s="13" t="str">
        <x:v>未选中不等于缺失</x:v>
      </x:c>
      <x:c r="I229" s="2" t="str">
        <x:v>数值版 Sheet1!CB2:CH163</x:v>
      </x:c>
    </x:row>
    <x:row r="230" ht="30" customHeight="1">
      <x:c r="A230" s="2" t="str">
        <x:v>Q21</x:v>
      </x:c>
      <x:c r="B230" s="2" t="str">
        <x:v>多选</x:v>
      </x:c>
      <x:c r="C230" s="13" t="str">
        <x:v>智慧医院/运营数据中心建设</x:v>
      </x:c>
      <x:c r="D230" s="2" t="str">
        <x:v>选中</x:v>
      </x:c>
      <x:c r="E230" s="11" t="n">
        <x:v>73</x:v>
      </x:c>
      <x:c r="F230" s="11" t="n">
        <x:v>162</x:v>
      </x:c>
      <x:c r="G230" s="12" t="n">
        <x:f>IF(F230=0,"n.a.",E230/F230)</x:f>
        <x:v>0.4506172839506173</x:v>
      </x:c>
      <x:c r="H230" s="13" t="str">
        <x:v>多选：各选项比例之和可超过100%</x:v>
      </x:c>
      <x:c r="I230" s="2" t="str">
        <x:v>数值版 Sheet1!CB2:CH163</x:v>
      </x:c>
    </x:row>
    <x:row r="231" ht="30" customHeight="1">
      <x:c r="A231" s="2" t="str">
        <x:v>Q21</x:v>
      </x:c>
      <x:c r="B231" s="2" t="str">
        <x:v>多选</x:v>
      </x:c>
      <x:c r="C231" s="13" t="str">
        <x:v>智慧医院/运营数据中心建设</x:v>
      </x:c>
      <x:c r="D231" s="2" t="str">
        <x:v>未选中</x:v>
      </x:c>
      <x:c r="E231" s="11" t="n">
        <x:v>89</x:v>
      </x:c>
      <x:c r="F231" s="11" t="n">
        <x:v>162</x:v>
      </x:c>
      <x:c r="G231" s="12" t="n">
        <x:f>IF(F231=0,"n.a.",E231/F231)</x:f>
        <x:v>0.5493827160493827</x:v>
      </x:c>
      <x:c r="H231" s="13" t="str">
        <x:v>未选中不等于缺失</x:v>
      </x:c>
      <x:c r="I231" s="2" t="str">
        <x:v>数值版 Sheet1!CB2:CH163</x:v>
      </x:c>
    </x:row>
    <x:row r="232" ht="30" customHeight="1">
      <x:c r="A232" s="2" t="str">
        <x:v>Q21</x:v>
      </x:c>
      <x:c r="B232" s="2" t="str">
        <x:v>多选</x:v>
      </x:c>
      <x:c r="C232" s="13" t="str">
        <x:v>其他</x:v>
      </x:c>
      <x:c r="D232" s="2" t="str">
        <x:v>选中</x:v>
      </x:c>
      <x:c r="E232" s="11" t="n">
        <x:v>0</x:v>
      </x:c>
      <x:c r="F232" s="11" t="n">
        <x:v>162</x:v>
      </x:c>
      <x:c r="G232" s="12" t="n">
        <x:f>IF(F232=0,"n.a.",E232/F232)</x:f>
        <x:v>0</x:v>
      </x:c>
      <x:c r="H232" s="13" t="str">
        <x:v>多选：各选项比例之和可超过100%</x:v>
      </x:c>
      <x:c r="I232" s="2" t="str">
        <x:v>数值版 Sheet1!CB2:CH163</x:v>
      </x:c>
    </x:row>
    <x:row r="233" ht="30" customHeight="1">
      <x:c r="A233" s="2" t="str">
        <x:v>Q21</x:v>
      </x:c>
      <x:c r="B233" s="2" t="str">
        <x:v>多选</x:v>
      </x:c>
      <x:c r="C233" s="13" t="str">
        <x:v>其他</x:v>
      </x:c>
      <x:c r="D233" s="2" t="str">
        <x:v>未选中</x:v>
      </x:c>
      <x:c r="E233" s="11" t="n">
        <x:v>162</x:v>
      </x:c>
      <x:c r="F233" s="11" t="n">
        <x:v>162</x:v>
      </x:c>
      <x:c r="G233" s="12" t="n">
        <x:f>IF(F233=0,"n.a.",E233/F233)</x:f>
        <x:v>1</x:v>
      </x:c>
      <x:c r="H233" s="13" t="str">
        <x:v>未选中不等于缺失</x:v>
      </x:c>
      <x:c r="I233" s="2" t="str">
        <x:v>数值版 Sheet1!CB2:CH163</x:v>
      </x:c>
    </x:row>
    <x:row r="234" ht="30" customHeight="1">
      <x:c r="A234" s="2" t="str">
        <x:v>Q22</x:v>
      </x:c>
      <x:c r="B234" s="2" t="str">
        <x:v>五级量表</x:v>
      </x:c>
      <x:c r="C234" s="13" t="str">
        <x:v>D1 懂业务:理解医疗业务流程与临床运行规律</x:v>
      </x:c>
      <x:c r="D234" s="2" t="str">
        <x:v>1分</x:v>
      </x:c>
      <x:c r="E234" s="11" t="n">
        <x:v>8</x:v>
      </x:c>
      <x:c r="F234" s="11" t="n">
        <x:v>162</x:v>
      </x:c>
      <x:c r="G234" s="12" t="n">
        <x:f>IF(F234=0,"n.a.",E234/F234)</x:f>
        <x:v>0.04938271604938271</x:v>
      </x:c>
      <x:c r="H234" s="13" t="str">
        <x:v>Q22高分=差距大；Q35高分=通道畅通；其余按题意</x:v>
      </x:c>
      <x:c r="I234" s="2" t="str">
        <x:v>数值版 Sheet1!CI2:CM163</x:v>
      </x:c>
    </x:row>
    <x:row r="235" ht="30" customHeight="1">
      <x:c r="A235" s="2" t="str">
        <x:v>Q22</x:v>
      </x:c>
      <x:c r="B235" s="2" t="str">
        <x:v>五级量表</x:v>
      </x:c>
      <x:c r="C235" s="13" t="str">
        <x:v>D1 懂业务:理解医疗业务流程与临床运行规律</x:v>
      </x:c>
      <x:c r="D235" s="2" t="str">
        <x:v>2分</x:v>
      </x:c>
      <x:c r="E235" s="11" t="n">
        <x:v>20</x:v>
      </x:c>
      <x:c r="F235" s="11" t="n">
        <x:v>162</x:v>
      </x:c>
      <x:c r="G235" s="12" t="n">
        <x:f>IF(F235=0,"n.a.",E235/F235)</x:f>
        <x:v>0.12345679012345678</x:v>
      </x:c>
      <x:c r="H235" s="13" t="str">
        <x:v>Q22高分=差距大；Q35高分=通道畅通；其余按题意</x:v>
      </x:c>
      <x:c r="I235" s="2" t="str">
        <x:v>数值版 Sheet1!CI2:CM163</x:v>
      </x:c>
    </x:row>
    <x:row r="236" ht="30" customHeight="1">
      <x:c r="A236" s="2" t="str">
        <x:v>Q22</x:v>
      </x:c>
      <x:c r="B236" s="2" t="str">
        <x:v>五级量表</x:v>
      </x:c>
      <x:c r="C236" s="13" t="str">
        <x:v>D1 懂业务:理解医疗业务流程与临床运行规律</x:v>
      </x:c>
      <x:c r="D236" s="2" t="str">
        <x:v>3分</x:v>
      </x:c>
      <x:c r="E236" s="11" t="n">
        <x:v>68</x:v>
      </x:c>
      <x:c r="F236" s="11" t="n">
        <x:v>162</x:v>
      </x:c>
      <x:c r="G236" s="12" t="n">
        <x:f>IF(F236=0,"n.a.",E236/F236)</x:f>
        <x:v>0.41975308641975306</x:v>
      </x:c>
      <x:c r="H236" s="13" t="str">
        <x:v>Q22高分=差距大；Q35高分=通道畅通；其余按题意</x:v>
      </x:c>
      <x:c r="I236" s="2" t="str">
        <x:v>数值版 Sheet1!CI2:CM163</x:v>
      </x:c>
    </x:row>
    <x:row r="237" ht="30" customHeight="1">
      <x:c r="A237" s="2" t="str">
        <x:v>Q22</x:v>
      </x:c>
      <x:c r="B237" s="2" t="str">
        <x:v>五级量表</x:v>
      </x:c>
      <x:c r="C237" s="13" t="str">
        <x:v>D1 懂业务:理解医疗业务流程与临床运行规律</x:v>
      </x:c>
      <x:c r="D237" s="2" t="str">
        <x:v>4分</x:v>
      </x:c>
      <x:c r="E237" s="11" t="n">
        <x:v>47</x:v>
      </x:c>
      <x:c r="F237" s="11" t="n">
        <x:v>162</x:v>
      </x:c>
      <x:c r="G237" s="12" t="n">
        <x:f>IF(F237=0,"n.a.",E237/F237)</x:f>
        <x:v>0.29012345679012347</x:v>
      </x:c>
      <x:c r="H237" s="13" t="str">
        <x:v>Q22高分=差距大；Q35高分=通道畅通；其余按题意</x:v>
      </x:c>
      <x:c r="I237" s="2" t="str">
        <x:v>数值版 Sheet1!CI2:CM163</x:v>
      </x:c>
    </x:row>
    <x:row r="238" ht="30" customHeight="1">
      <x:c r="A238" s="2" t="str">
        <x:v>Q22</x:v>
      </x:c>
      <x:c r="B238" s="2" t="str">
        <x:v>五级量表</x:v>
      </x:c>
      <x:c r="C238" s="13" t="str">
        <x:v>D1 懂业务:理解医疗业务流程与临床运行规律</x:v>
      </x:c>
      <x:c r="D238" s="2" t="str">
        <x:v>5分</x:v>
      </x:c>
      <x:c r="E238" s="11" t="n">
        <x:v>19</x:v>
      </x:c>
      <x:c r="F238" s="11" t="n">
        <x:v>162</x:v>
      </x:c>
      <x:c r="G238" s="12" t="n">
        <x:f>IF(F238=0,"n.a.",E238/F238)</x:f>
        <x:v>0.11728395061728394</x:v>
      </x:c>
      <x:c r="H238" s="13" t="str">
        <x:v>Q22高分=差距大；Q35高分=通道畅通；其余按题意</x:v>
      </x:c>
      <x:c r="I238" s="2" t="str">
        <x:v>数值版 Sheet1!CI2:CM163</x:v>
      </x:c>
    </x:row>
    <x:row r="239" ht="30" customHeight="1">
      <x:c r="A239" s="2" t="str">
        <x:v>Q22</x:v>
      </x:c>
      <x:c r="B239" s="2" t="str">
        <x:v>五级量表</x:v>
      </x:c>
      <x:c r="C239" s="13" t="str">
        <x:v>D2 通财务:掌握财务、预算、成本专业知识</x:v>
      </x:c>
      <x:c r="D239" s="2" t="str">
        <x:v>1分</x:v>
      </x:c>
      <x:c r="E239" s="11" t="n">
        <x:v>33</x:v>
      </x:c>
      <x:c r="F239" s="11" t="n">
        <x:v>162</x:v>
      </x:c>
      <x:c r="G239" s="12" t="n">
        <x:f>IF(F239=0,"n.a.",E239/F239)</x:f>
        <x:v>0.2037037037037037</x:v>
      </x:c>
      <x:c r="H239" s="13" t="str">
        <x:v>Q22高分=差距大；Q35高分=通道畅通；其余按题意</x:v>
      </x:c>
      <x:c r="I239" s="2" t="str">
        <x:v>数值版 Sheet1!CI2:CM163</x:v>
      </x:c>
    </x:row>
    <x:row r="240" ht="30" customHeight="1">
      <x:c r="A240" s="2" t="str">
        <x:v>Q22</x:v>
      </x:c>
      <x:c r="B240" s="2" t="str">
        <x:v>五级量表</x:v>
      </x:c>
      <x:c r="C240" s="13" t="str">
        <x:v>D2 通财务:掌握财务、预算、成本专业知识</x:v>
      </x:c>
      <x:c r="D240" s="2" t="str">
        <x:v>2分</x:v>
      </x:c>
      <x:c r="E240" s="11" t="n">
        <x:v>44</x:v>
      </x:c>
      <x:c r="F240" s="11" t="n">
        <x:v>162</x:v>
      </x:c>
      <x:c r="G240" s="12" t="n">
        <x:f>IF(F240=0,"n.a.",E240/F240)</x:f>
        <x:v>0.2716049382716049</x:v>
      </x:c>
      <x:c r="H240" s="13" t="str">
        <x:v>Q22高分=差距大；Q35高分=通道畅通；其余按题意</x:v>
      </x:c>
      <x:c r="I240" s="2" t="str">
        <x:v>数值版 Sheet1!CI2:CM163</x:v>
      </x:c>
    </x:row>
    <x:row r="241" ht="30" customHeight="1">
      <x:c r="A241" s="2" t="str">
        <x:v>Q22</x:v>
      </x:c>
      <x:c r="B241" s="2" t="str">
        <x:v>五级量表</x:v>
      </x:c>
      <x:c r="C241" s="13" t="str">
        <x:v>D2 通财务:掌握财务、预算、成本专业知识</x:v>
      </x:c>
      <x:c r="D241" s="2" t="str">
        <x:v>3分</x:v>
      </x:c>
      <x:c r="E241" s="11" t="n">
        <x:v>43</x:v>
      </x:c>
      <x:c r="F241" s="11" t="n">
        <x:v>162</x:v>
      </x:c>
      <x:c r="G241" s="12" t="n">
        <x:f>IF(F241=0,"n.a.",E241/F241)</x:f>
        <x:v>0.2654320987654321</x:v>
      </x:c>
      <x:c r="H241" s="13" t="str">
        <x:v>Q22高分=差距大；Q35高分=通道畅通；其余按题意</x:v>
      </x:c>
      <x:c r="I241" s="2" t="str">
        <x:v>数值版 Sheet1!CI2:CM163</x:v>
      </x:c>
    </x:row>
    <x:row r="242" ht="30" customHeight="1">
      <x:c r="A242" s="2" t="str">
        <x:v>Q22</x:v>
      </x:c>
      <x:c r="B242" s="2" t="str">
        <x:v>五级量表</x:v>
      </x:c>
      <x:c r="C242" s="13" t="str">
        <x:v>D2 通财务:掌握财务、预算、成本专业知识</x:v>
      </x:c>
      <x:c r="D242" s="2" t="str">
        <x:v>4分</x:v>
      </x:c>
      <x:c r="E242" s="11" t="n">
        <x:v>29</x:v>
      </x:c>
      <x:c r="F242" s="11" t="n">
        <x:v>162</x:v>
      </x:c>
      <x:c r="G242" s="12" t="n">
        <x:f>IF(F242=0,"n.a.",E242/F242)</x:f>
        <x:v>0.17901234567901234</x:v>
      </x:c>
      <x:c r="H242" s="13" t="str">
        <x:v>Q22高分=差距大；Q35高分=通道畅通；其余按题意</x:v>
      </x:c>
      <x:c r="I242" s="2" t="str">
        <x:v>数值版 Sheet1!CI2:CM163</x:v>
      </x:c>
    </x:row>
    <x:row r="243" ht="30" customHeight="1">
      <x:c r="A243" s="2" t="str">
        <x:v>Q22</x:v>
      </x:c>
      <x:c r="B243" s="2" t="str">
        <x:v>五级量表</x:v>
      </x:c>
      <x:c r="C243" s="13" t="str">
        <x:v>D2 通财务:掌握财务、预算、成本专业知识</x:v>
      </x:c>
      <x:c r="D243" s="2" t="str">
        <x:v>5分</x:v>
      </x:c>
      <x:c r="E243" s="11" t="n">
        <x:v>13</x:v>
      </x:c>
      <x:c r="F243" s="11" t="n">
        <x:v>162</x:v>
      </x:c>
      <x:c r="G243" s="12" t="n">
        <x:f>IF(F243=0,"n.a.",E243/F243)</x:f>
        <x:v>0.08024691358024691</x:v>
      </x:c>
      <x:c r="H243" s="13" t="str">
        <x:v>Q22高分=差距大；Q35高分=通道畅通；其余按题意</x:v>
      </x:c>
      <x:c r="I243" s="2" t="str">
        <x:v>数值版 Sheet1!CI2:CM163</x:v>
      </x:c>
    </x:row>
    <x:row r="244" ht="30" customHeight="1">
      <x:c r="A244" s="2" t="str">
        <x:v>Q22</x:v>
      </x:c>
      <x:c r="B244" s="2" t="str">
        <x:v>五级量表</x:v>
      </x:c>
      <x:c r="C244" s="13" t="str">
        <x:v>D3 善管理:具备运营管理与综合协调能力</x:v>
      </x:c>
      <x:c r="D244" s="2" t="str">
        <x:v>1分</x:v>
      </x:c>
      <x:c r="E244" s="11" t="n">
        <x:v>7</x:v>
      </x:c>
      <x:c r="F244" s="11" t="n">
        <x:v>162</x:v>
      </x:c>
      <x:c r="G244" s="12" t="n">
        <x:f>IF(F244=0,"n.a.",E244/F244)</x:f>
        <x:v>0.043209876543209874</x:v>
      </x:c>
      <x:c r="H244" s="13" t="str">
        <x:v>Q22高分=差距大；Q35高分=通道畅通；其余按题意</x:v>
      </x:c>
      <x:c r="I244" s="2" t="str">
        <x:v>数值版 Sheet1!CI2:CM163</x:v>
      </x:c>
    </x:row>
    <x:row r="245" ht="30" customHeight="1">
      <x:c r="A245" s="2" t="str">
        <x:v>Q22</x:v>
      </x:c>
      <x:c r="B245" s="2" t="str">
        <x:v>五级量表</x:v>
      </x:c>
      <x:c r="C245" s="13" t="str">
        <x:v>D3 善管理:具备运营管理与综合协调能力</x:v>
      </x:c>
      <x:c r="D245" s="2" t="str">
        <x:v>2分</x:v>
      </x:c>
      <x:c r="E245" s="11" t="n">
        <x:v>32</x:v>
      </x:c>
      <x:c r="F245" s="11" t="n">
        <x:v>162</x:v>
      </x:c>
      <x:c r="G245" s="12" t="n">
        <x:f>IF(F245=0,"n.a.",E245/F245)</x:f>
        <x:v>0.19753086419753085</x:v>
      </x:c>
      <x:c r="H245" s="13" t="str">
        <x:v>Q22高分=差距大；Q35高分=通道畅通；其余按题意</x:v>
      </x:c>
      <x:c r="I245" s="2" t="str">
        <x:v>数值版 Sheet1!CI2:CM163</x:v>
      </x:c>
    </x:row>
    <x:row r="246" ht="30" customHeight="1">
      <x:c r="A246" s="2" t="str">
        <x:v>Q22</x:v>
      </x:c>
      <x:c r="B246" s="2" t="str">
        <x:v>五级量表</x:v>
      </x:c>
      <x:c r="C246" s="13" t="str">
        <x:v>D3 善管理:具备运营管理与综合协调能力</x:v>
      </x:c>
      <x:c r="D246" s="2" t="str">
        <x:v>3分</x:v>
      </x:c>
      <x:c r="E246" s="11" t="n">
        <x:v>78</x:v>
      </x:c>
      <x:c r="F246" s="11" t="n">
        <x:v>162</x:v>
      </x:c>
      <x:c r="G246" s="12" t="n">
        <x:f>IF(F246=0,"n.a.",E246/F246)</x:f>
        <x:v>0.48148148148148145</x:v>
      </x:c>
      <x:c r="H246" s="13" t="str">
        <x:v>Q22高分=差距大；Q35高分=通道畅通；其余按题意</x:v>
      </x:c>
      <x:c r="I246" s="2" t="str">
        <x:v>数值版 Sheet1!CI2:CM163</x:v>
      </x:c>
    </x:row>
    <x:row r="247" ht="30" customHeight="1">
      <x:c r="A247" s="2" t="str">
        <x:v>Q22</x:v>
      </x:c>
      <x:c r="B247" s="2" t="str">
        <x:v>五级量表</x:v>
      </x:c>
      <x:c r="C247" s="13" t="str">
        <x:v>D3 善管理:具备运营管理与综合协调能力</x:v>
      </x:c>
      <x:c r="D247" s="2" t="str">
        <x:v>4分</x:v>
      </x:c>
      <x:c r="E247" s="11" t="n">
        <x:v>29</x:v>
      </x:c>
      <x:c r="F247" s="11" t="n">
        <x:v>162</x:v>
      </x:c>
      <x:c r="G247" s="12" t="n">
        <x:f>IF(F247=0,"n.a.",E247/F247)</x:f>
        <x:v>0.17901234567901234</x:v>
      </x:c>
      <x:c r="H247" s="13" t="str">
        <x:v>Q22高分=差距大；Q35高分=通道畅通；其余按题意</x:v>
      </x:c>
      <x:c r="I247" s="2" t="str">
        <x:v>数值版 Sheet1!CI2:CM163</x:v>
      </x:c>
    </x:row>
    <x:row r="248" ht="30" customHeight="1">
      <x:c r="A248" s="2" t="str">
        <x:v>Q22</x:v>
      </x:c>
      <x:c r="B248" s="2" t="str">
        <x:v>五级量表</x:v>
      </x:c>
      <x:c r="C248" s="13" t="str">
        <x:v>D3 善管理:具备运营管理与综合协调能力</x:v>
      </x:c>
      <x:c r="D248" s="2" t="str">
        <x:v>5分</x:v>
      </x:c>
      <x:c r="E248" s="11" t="n">
        <x:v>16</x:v>
      </x:c>
      <x:c r="F248" s="11" t="n">
        <x:v>162</x:v>
      </x:c>
      <x:c r="G248" s="12" t="n">
        <x:f>IF(F248=0,"n.a.",E248/F248)</x:f>
        <x:v>0.09876543209876543</x:v>
      </x:c>
      <x:c r="H248" s="13" t="str">
        <x:v>Q22高分=差距大；Q35高分=通道畅通；其余按题意</x:v>
      </x:c>
      <x:c r="I248" s="2" t="str">
        <x:v>数值版 Sheet1!CI2:CM163</x:v>
      </x:c>
    </x:row>
    <x:row r="249" ht="30" customHeight="1">
      <x:c r="A249" s="2" t="str">
        <x:v>Q22</x:v>
      </x:c>
      <x:c r="B249" s="2" t="str">
        <x:v>五级量表</x:v>
      </x:c>
      <x:c r="C249" s="13" t="str">
        <x:v>D4 会数据:具备数字化工具与数据分析能力</x:v>
      </x:c>
      <x:c r="D249" s="2" t="str">
        <x:v>1分</x:v>
      </x:c>
      <x:c r="E249" s="11" t="n">
        <x:v>14</x:v>
      </x:c>
      <x:c r="F249" s="11" t="n">
        <x:v>162</x:v>
      </x:c>
      <x:c r="G249" s="12" t="n">
        <x:f>IF(F249=0,"n.a.",E249/F249)</x:f>
        <x:v>0.08641975308641975</x:v>
      </x:c>
      <x:c r="H249" s="13" t="str">
        <x:v>Q22高分=差距大；Q35高分=通道畅通；其余按题意</x:v>
      </x:c>
      <x:c r="I249" s="2" t="str">
        <x:v>数值版 Sheet1!CI2:CM163</x:v>
      </x:c>
    </x:row>
    <x:row r="250" ht="30" customHeight="1">
      <x:c r="A250" s="2" t="str">
        <x:v>Q22</x:v>
      </x:c>
      <x:c r="B250" s="2" t="str">
        <x:v>五级量表</x:v>
      </x:c>
      <x:c r="C250" s="13" t="str">
        <x:v>D4 会数据:具备数字化工具与数据分析能力</x:v>
      </x:c>
      <x:c r="D250" s="2" t="str">
        <x:v>2分</x:v>
      </x:c>
      <x:c r="E250" s="11" t="n">
        <x:v>22</x:v>
      </x:c>
      <x:c r="F250" s="11" t="n">
        <x:v>162</x:v>
      </x:c>
      <x:c r="G250" s="12" t="n">
        <x:f>IF(F250=0,"n.a.",E250/F250)</x:f>
        <x:v>0.13580246913580246</x:v>
      </x:c>
      <x:c r="H250" s="13" t="str">
        <x:v>Q22高分=差距大；Q35高分=通道畅通；其余按题意</x:v>
      </x:c>
      <x:c r="I250" s="2" t="str">
        <x:v>数值版 Sheet1!CI2:CM163</x:v>
      </x:c>
    </x:row>
    <x:row r="251" ht="30" customHeight="1">
      <x:c r="A251" s="2" t="str">
        <x:v>Q22</x:v>
      </x:c>
      <x:c r="B251" s="2" t="str">
        <x:v>五级量表</x:v>
      </x:c>
      <x:c r="C251" s="13" t="str">
        <x:v>D4 会数据:具备数字化工具与数据分析能力</x:v>
      </x:c>
      <x:c r="D251" s="2" t="str">
        <x:v>3分</x:v>
      </x:c>
      <x:c r="E251" s="11" t="n">
        <x:v>69</x:v>
      </x:c>
      <x:c r="F251" s="11" t="n">
        <x:v>162</x:v>
      </x:c>
      <x:c r="G251" s="12" t="n">
        <x:f>IF(F251=0,"n.a.",E251/F251)</x:f>
        <x:v>0.42592592592592593</x:v>
      </x:c>
      <x:c r="H251" s="13" t="str">
        <x:v>Q22高分=差距大；Q35高分=通道畅通；其余按题意</x:v>
      </x:c>
      <x:c r="I251" s="2" t="str">
        <x:v>数值版 Sheet1!CI2:CM163</x:v>
      </x:c>
    </x:row>
    <x:row r="252" ht="30" customHeight="1">
      <x:c r="A252" s="2" t="str">
        <x:v>Q22</x:v>
      </x:c>
      <x:c r="B252" s="2" t="str">
        <x:v>五级量表</x:v>
      </x:c>
      <x:c r="C252" s="13" t="str">
        <x:v>D4 会数据:具备数字化工具与数据分析能力</x:v>
      </x:c>
      <x:c r="D252" s="2" t="str">
        <x:v>4分</x:v>
      </x:c>
      <x:c r="E252" s="11" t="n">
        <x:v>43</x:v>
      </x:c>
      <x:c r="F252" s="11" t="n">
        <x:v>162</x:v>
      </x:c>
      <x:c r="G252" s="12" t="n">
        <x:f>IF(F252=0,"n.a.",E252/F252)</x:f>
        <x:v>0.2654320987654321</x:v>
      </x:c>
      <x:c r="H252" s="13" t="str">
        <x:v>Q22高分=差距大；Q35高分=通道畅通；其余按题意</x:v>
      </x:c>
      <x:c r="I252" s="2" t="str">
        <x:v>数值版 Sheet1!CI2:CM163</x:v>
      </x:c>
    </x:row>
    <x:row r="253" ht="30" customHeight="1">
      <x:c r="A253" s="2" t="str">
        <x:v>Q22</x:v>
      </x:c>
      <x:c r="B253" s="2" t="str">
        <x:v>五级量表</x:v>
      </x:c>
      <x:c r="C253" s="13" t="str">
        <x:v>D4 会数据:具备数字化工具与数据分析能力</x:v>
      </x:c>
      <x:c r="D253" s="2" t="str">
        <x:v>5分</x:v>
      </x:c>
      <x:c r="E253" s="11" t="n">
        <x:v>14</x:v>
      </x:c>
      <x:c r="F253" s="11" t="n">
        <x:v>162</x:v>
      </x:c>
      <x:c r="G253" s="12" t="n">
        <x:f>IF(F253=0,"n.a.",E253/F253)</x:f>
        <x:v>0.08641975308641975</x:v>
      </x:c>
      <x:c r="H253" s="13" t="str">
        <x:v>Q22高分=差距大；Q35高分=通道畅通；其余按题意</x:v>
      </x:c>
      <x:c r="I253" s="2" t="str">
        <x:v>数值版 Sheet1!CI2:CM163</x:v>
      </x:c>
    </x:row>
    <x:row r="254" ht="30" customHeight="1">
      <x:c r="A254" s="2" t="str">
        <x:v>Q22</x:v>
      </x:c>
      <x:c r="B254" s="2" t="str">
        <x:v>五级量表</x:v>
      </x:c>
      <x:c r="C254" s="13" t="str">
        <x:v>D5 防风险:具备内控、审计与合规监督能力</x:v>
      </x:c>
      <x:c r="D254" s="2" t="str">
        <x:v>1分</x:v>
      </x:c>
      <x:c r="E254" s="11" t="n">
        <x:v>10</x:v>
      </x:c>
      <x:c r="F254" s="11" t="n">
        <x:v>162</x:v>
      </x:c>
      <x:c r="G254" s="12" t="n">
        <x:f>IF(F254=0,"n.a.",E254/F254)</x:f>
        <x:v>0.06172839506172839</x:v>
      </x:c>
      <x:c r="H254" s="13" t="str">
        <x:v>Q22高分=差距大；Q35高分=通道畅通；其余按题意</x:v>
      </x:c>
      <x:c r="I254" s="2" t="str">
        <x:v>数值版 Sheet1!CI2:CM163</x:v>
      </x:c>
    </x:row>
    <x:row r="255" ht="30" customHeight="1">
      <x:c r="A255" s="2" t="str">
        <x:v>Q22</x:v>
      </x:c>
      <x:c r="B255" s="2" t="str">
        <x:v>五级量表</x:v>
      </x:c>
      <x:c r="C255" s="13" t="str">
        <x:v>D5 防风险:具备内控、审计与合规监督能力</x:v>
      </x:c>
      <x:c r="D255" s="2" t="str">
        <x:v>2分</x:v>
      </x:c>
      <x:c r="E255" s="11" t="n">
        <x:v>39</x:v>
      </x:c>
      <x:c r="F255" s="11" t="n">
        <x:v>162</x:v>
      </x:c>
      <x:c r="G255" s="12" t="n">
        <x:f>IF(F255=0,"n.a.",E255/F255)</x:f>
        <x:v>0.24074074074074073</x:v>
      </x:c>
      <x:c r="H255" s="13" t="str">
        <x:v>Q22高分=差距大；Q35高分=通道畅通；其余按题意</x:v>
      </x:c>
      <x:c r="I255" s="2" t="str">
        <x:v>数值版 Sheet1!CI2:CM163</x:v>
      </x:c>
    </x:row>
    <x:row r="256" ht="30" customHeight="1">
      <x:c r="A256" s="2" t="str">
        <x:v>Q22</x:v>
      </x:c>
      <x:c r="B256" s="2" t="str">
        <x:v>五级量表</x:v>
      </x:c>
      <x:c r="C256" s="13" t="str">
        <x:v>D5 防风险:具备内控、审计与合规监督能力</x:v>
      </x:c>
      <x:c r="D256" s="2" t="str">
        <x:v>3分</x:v>
      </x:c>
      <x:c r="E256" s="11" t="n">
        <x:v>64</x:v>
      </x:c>
      <x:c r="F256" s="11" t="n">
        <x:v>162</x:v>
      </x:c>
      <x:c r="G256" s="12" t="n">
        <x:f>IF(F256=0,"n.a.",E256/F256)</x:f>
        <x:v>0.3950617283950617</x:v>
      </x:c>
      <x:c r="H256" s="13" t="str">
        <x:v>Q22高分=差距大；Q35高分=通道畅通；其余按题意</x:v>
      </x:c>
      <x:c r="I256" s="2" t="str">
        <x:v>数值版 Sheet1!CI2:CM163</x:v>
      </x:c>
    </x:row>
    <x:row r="257" ht="30" customHeight="1">
      <x:c r="A257" s="2" t="str">
        <x:v>Q22</x:v>
      </x:c>
      <x:c r="B257" s="2" t="str">
        <x:v>五级量表</x:v>
      </x:c>
      <x:c r="C257" s="13" t="str">
        <x:v>D5 防风险:具备内控、审计与合规监督能力</x:v>
      </x:c>
      <x:c r="D257" s="2" t="str">
        <x:v>4分</x:v>
      </x:c>
      <x:c r="E257" s="11" t="n">
        <x:v>36</x:v>
      </x:c>
      <x:c r="F257" s="11" t="n">
        <x:v>162</x:v>
      </x:c>
      <x:c r="G257" s="12" t="n">
        <x:f>IF(F257=0,"n.a.",E257/F257)</x:f>
        <x:v>0.2222222222222222</x:v>
      </x:c>
      <x:c r="H257" s="13" t="str">
        <x:v>Q22高分=差距大；Q35高分=通道畅通；其余按题意</x:v>
      </x:c>
      <x:c r="I257" s="2" t="str">
        <x:v>数值版 Sheet1!CI2:CM163</x:v>
      </x:c>
    </x:row>
    <x:row r="258" ht="30" customHeight="1">
      <x:c r="A258" s="2" t="str">
        <x:v>Q22</x:v>
      </x:c>
      <x:c r="B258" s="2" t="str">
        <x:v>五级量表</x:v>
      </x:c>
      <x:c r="C258" s="13" t="str">
        <x:v>D5 防风险:具备内控、审计与合规监督能力</x:v>
      </x:c>
      <x:c r="D258" s="2" t="str">
        <x:v>5分</x:v>
      </x:c>
      <x:c r="E258" s="11" t="n">
        <x:v>13</x:v>
      </x:c>
      <x:c r="F258" s="11" t="n">
        <x:v>162</x:v>
      </x:c>
      <x:c r="G258" s="12" t="n">
        <x:f>IF(F258=0,"n.a.",E258/F258)</x:f>
        <x:v>0.08024691358024691</x:v>
      </x:c>
      <x:c r="H258" s="13" t="str">
        <x:v>Q22高分=差距大；Q35高分=通道畅通；其余按题意</x:v>
      </x:c>
      <x:c r="I258" s="2" t="str">
        <x:v>数值版 Sheet1!CI2:CM163</x:v>
      </x:c>
    </x:row>
    <x:row r="259" ht="30" customHeight="1">
      <x:c r="A259" s="2" t="str">
        <x:v>Q23</x:v>
      </x:c>
      <x:c r="B259" s="2" t="str">
        <x:v>前三排序</x:v>
      </x:c>
      <x:c r="C259" s="13" t="str">
        <x:v>成本与预算管理人才</x:v>
      </x:c>
      <x:c r="D259" s="2" t="str">
        <x:v>第1名</x:v>
      </x:c>
      <x:c r="E259" s="11" t="n">
        <x:v>29</x:v>
      </x:c>
      <x:c r="F259" s="11" t="n">
        <x:v>162</x:v>
      </x:c>
      <x:c r="G259" s="12" t="n">
        <x:f>IF(F259=0,"n.a.",E259/F259)</x:f>
        <x:v>0.17901234567901234</x:v>
      </x:c>
      <x:c r="H259" s="13" t="str">
        <x:v>首选和前三入选分别统计；0=未进入前三</x:v>
      </x:c>
      <x:c r="I259" s="2" t="str">
        <x:v>数值版 Sheet1!CN2:CS163</x:v>
      </x:c>
    </x:row>
    <x:row r="260" ht="30" customHeight="1">
      <x:c r="A260" s="2" t="str">
        <x:v>Q23</x:v>
      </x:c>
      <x:c r="B260" s="2" t="str">
        <x:v>前三排序</x:v>
      </x:c>
      <x:c r="C260" s="13" t="str">
        <x:v>成本与预算管理人才</x:v>
      </x:c>
      <x:c r="D260" s="2" t="str">
        <x:v>第2名</x:v>
      </x:c>
      <x:c r="E260" s="11" t="n">
        <x:v>24</x:v>
      </x:c>
      <x:c r="F260" s="11" t="n">
        <x:v>162</x:v>
      </x:c>
      <x:c r="G260" s="12" t="n">
        <x:f>IF(F260=0,"n.a.",E260/F260)</x:f>
        <x:v>0.14814814814814814</x:v>
      </x:c>
      <x:c r="H260" s="13" t="str">
        <x:v>首选和前三入选分别统计；0=未进入前三</x:v>
      </x:c>
      <x:c r="I260" s="2" t="str">
        <x:v>数值版 Sheet1!CN2:CS163</x:v>
      </x:c>
    </x:row>
    <x:row r="261" ht="30" customHeight="1">
      <x:c r="A261" s="2" t="str">
        <x:v>Q23</x:v>
      </x:c>
      <x:c r="B261" s="2" t="str">
        <x:v>前三排序</x:v>
      </x:c>
      <x:c r="C261" s="13" t="str">
        <x:v>成本与预算管理人才</x:v>
      </x:c>
      <x:c r="D261" s="2" t="str">
        <x:v>第3名</x:v>
      </x:c>
      <x:c r="E261" s="11" t="n">
        <x:v>30</x:v>
      </x:c>
      <x:c r="F261" s="11" t="n">
        <x:v>162</x:v>
      </x:c>
      <x:c r="G261" s="12" t="n">
        <x:f>IF(F261=0,"n.a.",E261/F261)</x:f>
        <x:v>0.18518518518518517</x:v>
      </x:c>
      <x:c r="H261" s="13" t="str">
        <x:v>首选和前三入选分别统计；0=未进入前三</x:v>
      </x:c>
      <x:c r="I261" s="2" t="str">
        <x:v>数值版 Sheet1!CN2:CS163</x:v>
      </x:c>
    </x:row>
    <x:row r="262" ht="30" customHeight="1">
      <x:c r="A262" s="2" t="str">
        <x:v>Q23</x:v>
      </x:c>
      <x:c r="B262" s="2" t="str">
        <x:v>前三排序</x:v>
      </x:c>
      <x:c r="C262" s="13" t="str">
        <x:v>成本与预算管理人才</x:v>
      </x:c>
      <x:c r="D262" s="2" t="str">
        <x:v>未入前三</x:v>
      </x:c>
      <x:c r="E262" s="11" t="n">
        <x:v>79</x:v>
      </x:c>
      <x:c r="F262" s="11" t="n">
        <x:v>162</x:v>
      </x:c>
      <x:c r="G262" s="12" t="n">
        <x:f>IF(F262=0,"n.a.",E262/F262)</x:f>
        <x:v>0.4876543209876543</x:v>
      </x:c>
      <x:c r="H262" s="13" t="str">
        <x:v>未入前三不等于缺失</x:v>
      </x:c>
      <x:c r="I262" s="2" t="str">
        <x:v>数值版 Sheet1!CN2:CS163</x:v>
      </x:c>
    </x:row>
    <x:row r="263" ht="30" customHeight="1">
      <x:c r="A263" s="2" t="str">
        <x:v>Q23</x:v>
      </x:c>
      <x:c r="B263" s="2" t="str">
        <x:v>前三排序</x:v>
      </x:c>
      <x:c r="C263" s="13" t="str">
        <x:v>运营管理人才</x:v>
      </x:c>
      <x:c r="D263" s="2" t="str">
        <x:v>第1名</x:v>
      </x:c>
      <x:c r="E263" s="11" t="n">
        <x:v>67</x:v>
      </x:c>
      <x:c r="F263" s="11" t="n">
        <x:v>162</x:v>
      </x:c>
      <x:c r="G263" s="12" t="n">
        <x:f>IF(F263=0,"n.a.",E263/F263)</x:f>
        <x:v>0.41358024691358025</x:v>
      </x:c>
      <x:c r="H263" s="13" t="str">
        <x:v>首选和前三入选分别统计；0=未进入前三</x:v>
      </x:c>
      <x:c r="I263" s="2" t="str">
        <x:v>数值版 Sheet1!CN2:CS163</x:v>
      </x:c>
    </x:row>
    <x:row r="264" ht="30" customHeight="1">
      <x:c r="A264" s="2" t="str">
        <x:v>Q23</x:v>
      </x:c>
      <x:c r="B264" s="2" t="str">
        <x:v>前三排序</x:v>
      </x:c>
      <x:c r="C264" s="13" t="str">
        <x:v>运营管理人才</x:v>
      </x:c>
      <x:c r="D264" s="2" t="str">
        <x:v>第2名</x:v>
      </x:c>
      <x:c r="E264" s="11" t="n">
        <x:v>43</x:v>
      </x:c>
      <x:c r="F264" s="11" t="n">
        <x:v>162</x:v>
      </x:c>
      <x:c r="G264" s="12" t="n">
        <x:f>IF(F264=0,"n.a.",E264/F264)</x:f>
        <x:v>0.2654320987654321</x:v>
      </x:c>
      <x:c r="H264" s="13" t="str">
        <x:v>首选和前三入选分别统计；0=未进入前三</x:v>
      </x:c>
      <x:c r="I264" s="2" t="str">
        <x:v>数值版 Sheet1!CN2:CS163</x:v>
      </x:c>
    </x:row>
    <x:row r="265" ht="30" customHeight="1">
      <x:c r="A265" s="2" t="str">
        <x:v>Q23</x:v>
      </x:c>
      <x:c r="B265" s="2" t="str">
        <x:v>前三排序</x:v>
      </x:c>
      <x:c r="C265" s="13" t="str">
        <x:v>运营管理人才</x:v>
      </x:c>
      <x:c r="D265" s="2" t="str">
        <x:v>第3名</x:v>
      </x:c>
      <x:c r="E265" s="11" t="n">
        <x:v>23</x:v>
      </x:c>
      <x:c r="F265" s="11" t="n">
        <x:v>162</x:v>
      </x:c>
      <x:c r="G265" s="12" t="n">
        <x:f>IF(F265=0,"n.a.",E265/F265)</x:f>
        <x:v>0.1419753086419753</x:v>
      </x:c>
      <x:c r="H265" s="13" t="str">
        <x:v>首选和前三入选分别统计；0=未进入前三</x:v>
      </x:c>
      <x:c r="I265" s="2" t="str">
        <x:v>数值版 Sheet1!CN2:CS163</x:v>
      </x:c>
    </x:row>
    <x:row r="266" ht="30" customHeight="1">
      <x:c r="A266" s="2" t="str">
        <x:v>Q23</x:v>
      </x:c>
      <x:c r="B266" s="2" t="str">
        <x:v>前三排序</x:v>
      </x:c>
      <x:c r="C266" s="13" t="str">
        <x:v>运营管理人才</x:v>
      </x:c>
      <x:c r="D266" s="2" t="str">
        <x:v>未入前三</x:v>
      </x:c>
      <x:c r="E266" s="11" t="n">
        <x:v>29</x:v>
      </x:c>
      <x:c r="F266" s="11" t="n">
        <x:v>162</x:v>
      </x:c>
      <x:c r="G266" s="12" t="n">
        <x:f>IF(F266=0,"n.a.",E266/F266)</x:f>
        <x:v>0.17901234567901234</x:v>
      </x:c>
      <x:c r="H266" s="13" t="str">
        <x:v>未入前三不等于缺失</x:v>
      </x:c>
      <x:c r="I266" s="2" t="str">
        <x:v>数值版 Sheet1!CN2:CS163</x:v>
      </x:c>
    </x:row>
    <x:row r="267" ht="30" customHeight="1">
      <x:c r="A267" s="2" t="str">
        <x:v>Q23</x:v>
      </x:c>
      <x:c r="B267" s="2" t="str">
        <x:v>前三排序</x:v>
      </x:c>
      <x:c r="C267" s="13" t="str">
        <x:v>医保管理人才</x:v>
      </x:c>
      <x:c r="D267" s="2" t="str">
        <x:v>第1名</x:v>
      </x:c>
      <x:c r="E267" s="11" t="n">
        <x:v>6</x:v>
      </x:c>
      <x:c r="F267" s="11" t="n">
        <x:v>162</x:v>
      </x:c>
      <x:c r="G267" s="12" t="n">
        <x:f>IF(F267=0,"n.a.",E267/F267)</x:f>
        <x:v>0.037037037037037035</x:v>
      </x:c>
      <x:c r="H267" s="13" t="str">
        <x:v>首选和前三入选分别统计；0=未进入前三</x:v>
      </x:c>
      <x:c r="I267" s="2" t="str">
        <x:v>数值版 Sheet1!CN2:CS163</x:v>
      </x:c>
    </x:row>
    <x:row r="268" ht="30" customHeight="1">
      <x:c r="A268" s="2" t="str">
        <x:v>Q23</x:v>
      </x:c>
      <x:c r="B268" s="2" t="str">
        <x:v>前三排序</x:v>
      </x:c>
      <x:c r="C268" s="13" t="str">
        <x:v>医保管理人才</x:v>
      </x:c>
      <x:c r="D268" s="2" t="str">
        <x:v>第2名</x:v>
      </x:c>
      <x:c r="E268" s="11" t="n">
        <x:v>19</x:v>
      </x:c>
      <x:c r="F268" s="11" t="n">
        <x:v>162</x:v>
      </x:c>
      <x:c r="G268" s="12" t="n">
        <x:f>IF(F268=0,"n.a.",E268/F268)</x:f>
        <x:v>0.11728395061728394</x:v>
      </x:c>
      <x:c r="H268" s="13" t="str">
        <x:v>首选和前三入选分别统计；0=未进入前三</x:v>
      </x:c>
      <x:c r="I268" s="2" t="str">
        <x:v>数值版 Sheet1!CN2:CS163</x:v>
      </x:c>
    </x:row>
    <x:row r="269" ht="30" customHeight="1">
      <x:c r="A269" s="2" t="str">
        <x:v>Q23</x:v>
      </x:c>
      <x:c r="B269" s="2" t="str">
        <x:v>前三排序</x:v>
      </x:c>
      <x:c r="C269" s="13" t="str">
        <x:v>医保管理人才</x:v>
      </x:c>
      <x:c r="D269" s="2" t="str">
        <x:v>第3名</x:v>
      </x:c>
      <x:c r="E269" s="11" t="n">
        <x:v>17</x:v>
      </x:c>
      <x:c r="F269" s="11" t="n">
        <x:v>162</x:v>
      </x:c>
      <x:c r="G269" s="12" t="n">
        <x:f>IF(F269=0,"n.a.",E269/F269)</x:f>
        <x:v>0.10493827160493827</x:v>
      </x:c>
      <x:c r="H269" s="13" t="str">
        <x:v>首选和前三入选分别统计；0=未进入前三</x:v>
      </x:c>
      <x:c r="I269" s="2" t="str">
        <x:v>数值版 Sheet1!CN2:CS163</x:v>
      </x:c>
    </x:row>
    <x:row r="270" ht="30" customHeight="1">
      <x:c r="A270" s="2" t="str">
        <x:v>Q23</x:v>
      </x:c>
      <x:c r="B270" s="2" t="str">
        <x:v>前三排序</x:v>
      </x:c>
      <x:c r="C270" s="13" t="str">
        <x:v>医保管理人才</x:v>
      </x:c>
      <x:c r="D270" s="2" t="str">
        <x:v>未入前三</x:v>
      </x:c>
      <x:c r="E270" s="11" t="n">
        <x:v>120</x:v>
      </x:c>
      <x:c r="F270" s="11" t="n">
        <x:v>162</x:v>
      </x:c>
      <x:c r="G270" s="12" t="n">
        <x:f>IF(F270=0,"n.a.",E270/F270)</x:f>
        <x:v>0.7407407407407407</x:v>
      </x:c>
      <x:c r="H270" s="13" t="str">
        <x:v>未入前三不等于缺失</x:v>
      </x:c>
      <x:c r="I270" s="2" t="str">
        <x:v>数值版 Sheet1!CN2:CS163</x:v>
      </x:c>
    </x:row>
    <x:row r="271" ht="30" customHeight="1">
      <x:c r="A271" s="2" t="str">
        <x:v>Q23</x:v>
      </x:c>
      <x:c r="B271" s="2" t="str">
        <x:v>前三排序</x:v>
      </x:c>
      <x:c r="C271" s="13" t="str">
        <x:v>内审与监督人才</x:v>
      </x:c>
      <x:c r="D271" s="2" t="str">
        <x:v>第1名</x:v>
      </x:c>
      <x:c r="E271" s="11" t="n">
        <x:v>3</x:v>
      </x:c>
      <x:c r="F271" s="11" t="n">
        <x:v>162</x:v>
      </x:c>
      <x:c r="G271" s="12" t="n">
        <x:f>IF(F271=0,"n.a.",E271/F271)</x:f>
        <x:v>0.018518518518518517</x:v>
      </x:c>
      <x:c r="H271" s="13" t="str">
        <x:v>首选和前三入选分别统计；0=未进入前三</x:v>
      </x:c>
      <x:c r="I271" s="2" t="str">
        <x:v>数值版 Sheet1!CN2:CS163</x:v>
      </x:c>
    </x:row>
    <x:row r="272" ht="30" customHeight="1">
      <x:c r="A272" s="2" t="str">
        <x:v>Q23</x:v>
      </x:c>
      <x:c r="B272" s="2" t="str">
        <x:v>前三排序</x:v>
      </x:c>
      <x:c r="C272" s="13" t="str">
        <x:v>内审与监督人才</x:v>
      </x:c>
      <x:c r="D272" s="2" t="str">
        <x:v>第2名</x:v>
      </x:c>
      <x:c r="E272" s="11" t="n">
        <x:v>3</x:v>
      </x:c>
      <x:c r="F272" s="11" t="n">
        <x:v>162</x:v>
      </x:c>
      <x:c r="G272" s="12" t="n">
        <x:f>IF(F272=0,"n.a.",E272/F272)</x:f>
        <x:v>0.018518518518518517</x:v>
      </x:c>
      <x:c r="H272" s="13" t="str">
        <x:v>首选和前三入选分别统计；0=未进入前三</x:v>
      </x:c>
      <x:c r="I272" s="2" t="str">
        <x:v>数值版 Sheet1!CN2:CS163</x:v>
      </x:c>
    </x:row>
    <x:row r="273" ht="30" customHeight="1">
      <x:c r="A273" s="2" t="str">
        <x:v>Q23</x:v>
      </x:c>
      <x:c r="B273" s="2" t="str">
        <x:v>前三排序</x:v>
      </x:c>
      <x:c r="C273" s="13" t="str">
        <x:v>内审与监督人才</x:v>
      </x:c>
      <x:c r="D273" s="2" t="str">
        <x:v>第3名</x:v>
      </x:c>
      <x:c r="E273" s="11" t="n">
        <x:v>13</x:v>
      </x:c>
      <x:c r="F273" s="11" t="n">
        <x:v>162</x:v>
      </x:c>
      <x:c r="G273" s="12" t="n">
        <x:f>IF(F273=0,"n.a.",E273/F273)</x:f>
        <x:v>0.08024691358024691</x:v>
      </x:c>
      <x:c r="H273" s="13" t="str">
        <x:v>首选和前三入选分别统计；0=未进入前三</x:v>
      </x:c>
      <x:c r="I273" s="2" t="str">
        <x:v>数值版 Sheet1!CN2:CS163</x:v>
      </x:c>
    </x:row>
    <x:row r="274" ht="30" customHeight="1">
      <x:c r="A274" s="2" t="str">
        <x:v>Q23</x:v>
      </x:c>
      <x:c r="B274" s="2" t="str">
        <x:v>前三排序</x:v>
      </x:c>
      <x:c r="C274" s="13" t="str">
        <x:v>内审与监督人才</x:v>
      </x:c>
      <x:c r="D274" s="2" t="str">
        <x:v>未入前三</x:v>
      </x:c>
      <x:c r="E274" s="11" t="n">
        <x:v>143</x:v>
      </x:c>
      <x:c r="F274" s="11" t="n">
        <x:v>162</x:v>
      </x:c>
      <x:c r="G274" s="12" t="n">
        <x:f>IF(F274=0,"n.a.",E274/F274)</x:f>
        <x:v>0.8827160493827161</x:v>
      </x:c>
      <x:c r="H274" s="13" t="str">
        <x:v>未入前三不等于缺失</x:v>
      </x:c>
      <x:c r="I274" s="2" t="str">
        <x:v>数值版 Sheet1!CN2:CS163</x:v>
      </x:c>
    </x:row>
    <x:row r="275" ht="30" customHeight="1">
      <x:c r="A275" s="2" t="str">
        <x:v>Q23</x:v>
      </x:c>
      <x:c r="B275" s="2" t="str">
        <x:v>前三排序</x:v>
      </x:c>
      <x:c r="C275" s="13" t="str">
        <x:v>数据分析人才</x:v>
      </x:c>
      <x:c r="D275" s="2" t="str">
        <x:v>第1名</x:v>
      </x:c>
      <x:c r="E275" s="11" t="n">
        <x:v>23</x:v>
      </x:c>
      <x:c r="F275" s="11" t="n">
        <x:v>162</x:v>
      </x:c>
      <x:c r="G275" s="12" t="n">
        <x:f>IF(F275=0,"n.a.",E275/F275)</x:f>
        <x:v>0.1419753086419753</x:v>
      </x:c>
      <x:c r="H275" s="13" t="str">
        <x:v>首选和前三入选分别统计；0=未进入前三</x:v>
      </x:c>
      <x:c r="I275" s="2" t="str">
        <x:v>数值版 Sheet1!CN2:CS163</x:v>
      </x:c>
    </x:row>
    <x:row r="276" ht="30" customHeight="1">
      <x:c r="A276" s="2" t="str">
        <x:v>Q23</x:v>
      </x:c>
      <x:c r="B276" s="2" t="str">
        <x:v>前三排序</x:v>
      </x:c>
      <x:c r="C276" s="13" t="str">
        <x:v>数据分析人才</x:v>
      </x:c>
      <x:c r="D276" s="2" t="str">
        <x:v>第2名</x:v>
      </x:c>
      <x:c r="E276" s="11" t="n">
        <x:v>57</x:v>
      </x:c>
      <x:c r="F276" s="11" t="n">
        <x:v>162</x:v>
      </x:c>
      <x:c r="G276" s="12" t="n">
        <x:f>IF(F276=0,"n.a.",E276/F276)</x:f>
        <x:v>0.35185185185185186</x:v>
      </x:c>
      <x:c r="H276" s="13" t="str">
        <x:v>首选和前三入选分别统计；0=未进入前三</x:v>
      </x:c>
      <x:c r="I276" s="2" t="str">
        <x:v>数值版 Sheet1!CN2:CS163</x:v>
      </x:c>
    </x:row>
    <x:row r="277" ht="30" customHeight="1">
      <x:c r="A277" s="2" t="str">
        <x:v>Q23</x:v>
      </x:c>
      <x:c r="B277" s="2" t="str">
        <x:v>前三排序</x:v>
      </x:c>
      <x:c r="C277" s="13" t="str">
        <x:v>数据分析人才</x:v>
      </x:c>
      <x:c r="D277" s="2" t="str">
        <x:v>第3名</x:v>
      </x:c>
      <x:c r="E277" s="11" t="n">
        <x:v>40</x:v>
      </x:c>
      <x:c r="F277" s="11" t="n">
        <x:v>162</x:v>
      </x:c>
      <x:c r="G277" s="12" t="n">
        <x:f>IF(F277=0,"n.a.",E277/F277)</x:f>
        <x:v>0.24691358024691357</x:v>
      </x:c>
      <x:c r="H277" s="13" t="str">
        <x:v>首选和前三入选分别统计；0=未进入前三</x:v>
      </x:c>
      <x:c r="I277" s="2" t="str">
        <x:v>数值版 Sheet1!CN2:CS163</x:v>
      </x:c>
    </x:row>
    <x:row r="278" ht="30" customHeight="1">
      <x:c r="A278" s="2" t="str">
        <x:v>Q23</x:v>
      </x:c>
      <x:c r="B278" s="2" t="str">
        <x:v>前三排序</x:v>
      </x:c>
      <x:c r="C278" s="13" t="str">
        <x:v>数据分析人才</x:v>
      </x:c>
      <x:c r="D278" s="2" t="str">
        <x:v>未入前三</x:v>
      </x:c>
      <x:c r="E278" s="11" t="n">
        <x:v>42</x:v>
      </x:c>
      <x:c r="F278" s="11" t="n">
        <x:v>162</x:v>
      </x:c>
      <x:c r="G278" s="12" t="n">
        <x:f>IF(F278=0,"n.a.",E278/F278)</x:f>
        <x:v>0.25925925925925924</x:v>
      </x:c>
      <x:c r="H278" s="13" t="str">
        <x:v>未入前三不等于缺失</x:v>
      </x:c>
      <x:c r="I278" s="2" t="str">
        <x:v>数值版 Sheet1!CN2:CS163</x:v>
      </x:c>
    </x:row>
    <x:row r="279" ht="30" customHeight="1">
      <x:c r="A279" s="2" t="str">
        <x:v>Q23</x:v>
      </x:c>
      <x:c r="B279" s="2" t="str">
        <x:v>前三排序</x:v>
      </x:c>
      <x:c r="C279" s="13" t="str">
        <x:v>综合管理人才</x:v>
      </x:c>
      <x:c r="D279" s="2" t="str">
        <x:v>第1名</x:v>
      </x:c>
      <x:c r="E279" s="11" t="n">
        <x:v>34</x:v>
      </x:c>
      <x:c r="F279" s="11" t="n">
        <x:v>162</x:v>
      </x:c>
      <x:c r="G279" s="12" t="n">
        <x:f>IF(F279=0,"n.a.",E279/F279)</x:f>
        <x:v>0.20987654320987653</x:v>
      </x:c>
      <x:c r="H279" s="13" t="str">
        <x:v>首选和前三入选分别统计；0=未进入前三</x:v>
      </x:c>
      <x:c r="I279" s="2" t="str">
        <x:v>数值版 Sheet1!CN2:CS163</x:v>
      </x:c>
    </x:row>
    <x:row r="280" ht="30" customHeight="1">
      <x:c r="A280" s="2" t="str">
        <x:v>Q23</x:v>
      </x:c>
      <x:c r="B280" s="2" t="str">
        <x:v>前三排序</x:v>
      </x:c>
      <x:c r="C280" s="13" t="str">
        <x:v>综合管理人才</x:v>
      </x:c>
      <x:c r="D280" s="2" t="str">
        <x:v>第2名</x:v>
      </x:c>
      <x:c r="E280" s="11" t="n">
        <x:v>16</x:v>
      </x:c>
      <x:c r="F280" s="11" t="n">
        <x:v>162</x:v>
      </x:c>
      <x:c r="G280" s="12" t="n">
        <x:f>IF(F280=0,"n.a.",E280/F280)</x:f>
        <x:v>0.09876543209876543</x:v>
      </x:c>
      <x:c r="H280" s="13" t="str">
        <x:v>首选和前三入选分别统计；0=未进入前三</x:v>
      </x:c>
      <x:c r="I280" s="2" t="str">
        <x:v>数值版 Sheet1!CN2:CS163</x:v>
      </x:c>
    </x:row>
    <x:row r="281" ht="30" customHeight="1">
      <x:c r="A281" s="2" t="str">
        <x:v>Q23</x:v>
      </x:c>
      <x:c r="B281" s="2" t="str">
        <x:v>前三排序</x:v>
      </x:c>
      <x:c r="C281" s="13" t="str">
        <x:v>综合管理人才</x:v>
      </x:c>
      <x:c r="D281" s="2" t="str">
        <x:v>第3名</x:v>
      </x:c>
      <x:c r="E281" s="11" t="n">
        <x:v>39</x:v>
      </x:c>
      <x:c r="F281" s="11" t="n">
        <x:v>162</x:v>
      </x:c>
      <x:c r="G281" s="12" t="n">
        <x:f>IF(F281=0,"n.a.",E281/F281)</x:f>
        <x:v>0.24074074074074073</x:v>
      </x:c>
      <x:c r="H281" s="13" t="str">
        <x:v>首选和前三入选分别统计；0=未进入前三</x:v>
      </x:c>
      <x:c r="I281" s="2" t="str">
        <x:v>数值版 Sheet1!CN2:CS163</x:v>
      </x:c>
    </x:row>
    <x:row r="282" ht="30" customHeight="1">
      <x:c r="A282" s="2" t="str">
        <x:v>Q23</x:v>
      </x:c>
      <x:c r="B282" s="2" t="str">
        <x:v>前三排序</x:v>
      </x:c>
      <x:c r="C282" s="13" t="str">
        <x:v>综合管理人才</x:v>
      </x:c>
      <x:c r="D282" s="2" t="str">
        <x:v>未入前三</x:v>
      </x:c>
      <x:c r="E282" s="11" t="n">
        <x:v>73</x:v>
      </x:c>
      <x:c r="F282" s="11" t="n">
        <x:v>162</x:v>
      </x:c>
      <x:c r="G282" s="12" t="n">
        <x:f>IF(F282=0,"n.a.",E282/F282)</x:f>
        <x:v>0.4506172839506173</x:v>
      </x:c>
      <x:c r="H282" s="13" t="str">
        <x:v>未入前三不等于缺失</x:v>
      </x:c>
      <x:c r="I282" s="2" t="str">
        <x:v>数值版 Sheet1!CN2:CS163</x:v>
      </x:c>
    </x:row>
    <x:row r="283" ht="36" customHeight="1">
      <x:c r="A283" s="2" t="str">
        <x:v>Q24</x:v>
      </x:c>
      <x:c r="B283" s="2" t="str">
        <x:v>五级量表</x:v>
      </x:c>
      <x:c r="C283" s="13" t="str">
        <x:v>E1 新入职人员:夯实财务、医疗、管理、信息交叉基础，强化跟岗实训与基本制度规范</x:v>
      </x:c>
      <x:c r="D283" s="2" t="str">
        <x:v>1分</x:v>
      </x:c>
      <x:c r="E283" s="11" t="n">
        <x:v>5</x:v>
      </x:c>
      <x:c r="F283" s="11" t="n">
        <x:v>162</x:v>
      </x:c>
      <x:c r="G283" s="12" t="n">
        <x:f>IF(F283=0,"n.a.",E283/F283)</x:f>
        <x:v>0.030864197530864196</x:v>
      </x:c>
      <x:c r="H283" s="13" t="str">
        <x:v>Q22高分=差距大；Q35高分=通道畅通；其余按题意</x:v>
      </x:c>
      <x:c r="I283" s="2" t="str">
        <x:v>数值版 Sheet1!CT2:CW163</x:v>
      </x:c>
    </x:row>
    <x:row r="284" ht="36" customHeight="1">
      <x:c r="A284" s="2" t="str">
        <x:v>Q24</x:v>
      </x:c>
      <x:c r="B284" s="2" t="str">
        <x:v>五级量表</x:v>
      </x:c>
      <x:c r="C284" s="13" t="str">
        <x:v>E1 新入职人员:夯实财务、医疗、管理、信息交叉基础，强化跟岗实训与基本制度规范</x:v>
      </x:c>
      <x:c r="D284" s="2" t="str">
        <x:v>2分</x:v>
      </x:c>
      <x:c r="E284" s="11" t="n">
        <x:v>4</x:v>
      </x:c>
      <x:c r="F284" s="11" t="n">
        <x:v>162</x:v>
      </x:c>
      <x:c r="G284" s="12" t="n">
        <x:f>IF(F284=0,"n.a.",E284/F284)</x:f>
        <x:v>0.024691358024691357</x:v>
      </x:c>
      <x:c r="H284" s="13" t="str">
        <x:v>Q22高分=差距大；Q35高分=通道畅通；其余按题意</x:v>
      </x:c>
      <x:c r="I284" s="2" t="str">
        <x:v>数值版 Sheet1!CT2:CW163</x:v>
      </x:c>
    </x:row>
    <x:row r="285" ht="36" customHeight="1">
      <x:c r="A285" s="2" t="str">
        <x:v>Q24</x:v>
      </x:c>
      <x:c r="B285" s="2" t="str">
        <x:v>五级量表</x:v>
      </x:c>
      <x:c r="C285" s="13" t="str">
        <x:v>E1 新入职人员:夯实财务、医疗、管理、信息交叉基础，强化跟岗实训与基本制度规范</x:v>
      </x:c>
      <x:c r="D285" s="2" t="str">
        <x:v>3分</x:v>
      </x:c>
      <x:c r="E285" s="11" t="n">
        <x:v>13</x:v>
      </x:c>
      <x:c r="F285" s="11" t="n">
        <x:v>162</x:v>
      </x:c>
      <x:c r="G285" s="12" t="n">
        <x:f>IF(F285=0,"n.a.",E285/F285)</x:f>
        <x:v>0.08024691358024691</x:v>
      </x:c>
      <x:c r="H285" s="13" t="str">
        <x:v>Q22高分=差距大；Q35高分=通道畅通；其余按题意</x:v>
      </x:c>
      <x:c r="I285" s="2" t="str">
        <x:v>数值版 Sheet1!CT2:CW163</x:v>
      </x:c>
    </x:row>
    <x:row r="286" ht="36" customHeight="1">
      <x:c r="A286" s="2" t="str">
        <x:v>Q24</x:v>
      </x:c>
      <x:c r="B286" s="2" t="str">
        <x:v>五级量表</x:v>
      </x:c>
      <x:c r="C286" s="13" t="str">
        <x:v>E1 新入职人员:夯实财务、医疗、管理、信息交叉基础，强化跟岗实训与基本制度规范</x:v>
      </x:c>
      <x:c r="D286" s="2" t="str">
        <x:v>4分</x:v>
      </x:c>
      <x:c r="E286" s="11" t="n">
        <x:v>29</x:v>
      </x:c>
      <x:c r="F286" s="11" t="n">
        <x:v>162</x:v>
      </x:c>
      <x:c r="G286" s="12" t="n">
        <x:f>IF(F286=0,"n.a.",E286/F286)</x:f>
        <x:v>0.17901234567901234</x:v>
      </x:c>
      <x:c r="H286" s="13" t="str">
        <x:v>Q22高分=差距大；Q35高分=通道畅通；其余按题意</x:v>
      </x:c>
      <x:c r="I286" s="2" t="str">
        <x:v>数值版 Sheet1!CT2:CW163</x:v>
      </x:c>
    </x:row>
    <x:row r="287" ht="36" customHeight="1">
      <x:c r="A287" s="2" t="str">
        <x:v>Q24</x:v>
      </x:c>
      <x:c r="B287" s="2" t="str">
        <x:v>五级量表</x:v>
      </x:c>
      <x:c r="C287" s="13" t="str">
        <x:v>E1 新入职人员:夯实财务、医疗、管理、信息交叉基础，强化跟岗实训与基本制度规范</x:v>
      </x:c>
      <x:c r="D287" s="2" t="str">
        <x:v>5分</x:v>
      </x:c>
      <x:c r="E287" s="11" t="n">
        <x:v>111</x:v>
      </x:c>
      <x:c r="F287" s="11" t="n">
        <x:v>162</x:v>
      </x:c>
      <x:c r="G287" s="12" t="n">
        <x:f>IF(F287=0,"n.a.",E287/F287)</x:f>
        <x:v>0.6851851851851852</x:v>
      </x:c>
      <x:c r="H287" s="13" t="str">
        <x:v>Q22高分=差距大；Q35高分=通道畅通；其余按题意</x:v>
      </x:c>
      <x:c r="I287" s="2" t="str">
        <x:v>数值版 Sheet1!CT2:CW163</x:v>
      </x:c>
    </x:row>
    <x:row r="288" ht="36" customHeight="1">
      <x:c r="A288" s="2" t="str">
        <x:v>Q24</x:v>
      </x:c>
      <x:c r="B288" s="2" t="str">
        <x:v>五级量表</x:v>
      </x:c>
      <x:c r="C288" s="13" t="str">
        <x:v>E2 业务骨干人员:围绕预算绩效、成本核算、数智运营、风控监督等专项能力系统深化</x:v>
      </x:c>
      <x:c r="D288" s="2" t="str">
        <x:v>1分</x:v>
      </x:c>
      <x:c r="E288" s="11" t="n">
        <x:v>4</x:v>
      </x:c>
      <x:c r="F288" s="11" t="n">
        <x:v>162</x:v>
      </x:c>
      <x:c r="G288" s="12" t="n">
        <x:f>IF(F288=0,"n.a.",E288/F288)</x:f>
        <x:v>0.024691358024691357</x:v>
      </x:c>
      <x:c r="H288" s="13" t="str">
        <x:v>Q22高分=差距大；Q35高分=通道畅通；其余按题意</x:v>
      </x:c>
      <x:c r="I288" s="2" t="str">
        <x:v>数值版 Sheet1!CT2:CW163</x:v>
      </x:c>
    </x:row>
    <x:row r="289" ht="36" customHeight="1">
      <x:c r="A289" s="2" t="str">
        <x:v>Q24</x:v>
      </x:c>
      <x:c r="B289" s="2" t="str">
        <x:v>五级量表</x:v>
      </x:c>
      <x:c r="C289" s="13" t="str">
        <x:v>E2 业务骨干人员:围绕预算绩效、成本核算、数智运营、风控监督等专项能力系统深化</x:v>
      </x:c>
      <x:c r="D289" s="2" t="str">
        <x:v>2分</x:v>
      </x:c>
      <x:c r="E289" s="11" t="n">
        <x:v>1</x:v>
      </x:c>
      <x:c r="F289" s="11" t="n">
        <x:v>162</x:v>
      </x:c>
      <x:c r="G289" s="12" t="n">
        <x:f>IF(F289=0,"n.a.",E289/F289)</x:f>
        <x:v>0.006172839506172839</x:v>
      </x:c>
      <x:c r="H289" s="13" t="str">
        <x:v>Q22高分=差距大；Q35高分=通道畅通；其余按题意</x:v>
      </x:c>
      <x:c r="I289" s="2" t="str">
        <x:v>数值版 Sheet1!CT2:CW163</x:v>
      </x:c>
    </x:row>
    <x:row r="290" ht="36" customHeight="1">
      <x:c r="A290" s="2" t="str">
        <x:v>Q24</x:v>
      </x:c>
      <x:c r="B290" s="2" t="str">
        <x:v>五级量表</x:v>
      </x:c>
      <x:c r="C290" s="13" t="str">
        <x:v>E2 业务骨干人员:围绕预算绩效、成本核算、数智运营、风控监督等专项能力系统深化</x:v>
      </x:c>
      <x:c r="D290" s="2" t="str">
        <x:v>3分</x:v>
      </x:c>
      <x:c r="E290" s="11" t="n">
        <x:v>12</x:v>
      </x:c>
      <x:c r="F290" s="11" t="n">
        <x:v>162</x:v>
      </x:c>
      <x:c r="G290" s="12" t="n">
        <x:f>IF(F290=0,"n.a.",E290/F290)</x:f>
        <x:v>0.07407407407407407</x:v>
      </x:c>
      <x:c r="H290" s="13" t="str">
        <x:v>Q22高分=差距大；Q35高分=通道畅通；其余按题意</x:v>
      </x:c>
      <x:c r="I290" s="2" t="str">
        <x:v>数值版 Sheet1!CT2:CW163</x:v>
      </x:c>
    </x:row>
    <x:row r="291" ht="36" customHeight="1">
      <x:c r="A291" s="2" t="str">
        <x:v>Q24</x:v>
      </x:c>
      <x:c r="B291" s="2" t="str">
        <x:v>五级量表</x:v>
      </x:c>
      <x:c r="C291" s="13" t="str">
        <x:v>E2 业务骨干人员:围绕预算绩效、成本核算、数智运营、风控监督等专项能力系统深化</x:v>
      </x:c>
      <x:c r="D291" s="2" t="str">
        <x:v>4分</x:v>
      </x:c>
      <x:c r="E291" s="11" t="n">
        <x:v>26</x:v>
      </x:c>
      <x:c r="F291" s="11" t="n">
        <x:v>162</x:v>
      </x:c>
      <x:c r="G291" s="12" t="n">
        <x:f>IF(F291=0,"n.a.",E291/F291)</x:f>
        <x:v>0.16049382716049382</x:v>
      </x:c>
      <x:c r="H291" s="13" t="str">
        <x:v>Q22高分=差距大；Q35高分=通道畅通；其余按题意</x:v>
      </x:c>
      <x:c r="I291" s="2" t="str">
        <x:v>数值版 Sheet1!CT2:CW163</x:v>
      </x:c>
    </x:row>
    <x:row r="292" ht="36" customHeight="1">
      <x:c r="A292" s="2" t="str">
        <x:v>Q24</x:v>
      </x:c>
      <x:c r="B292" s="2" t="str">
        <x:v>五级量表</x:v>
      </x:c>
      <x:c r="C292" s="13" t="str">
        <x:v>E2 业务骨干人员:围绕预算绩效、成本核算、数智运营、风控监督等专项能力系统深化</x:v>
      </x:c>
      <x:c r="D292" s="2" t="str">
        <x:v>5分</x:v>
      </x:c>
      <x:c r="E292" s="11" t="n">
        <x:v>119</x:v>
      </x:c>
      <x:c r="F292" s="11" t="n">
        <x:v>162</x:v>
      </x:c>
      <x:c r="G292" s="12" t="n">
        <x:f>IF(F292=0,"n.a.",E292/F292)</x:f>
        <x:v>0.7345679012345679</x:v>
      </x:c>
      <x:c r="H292" s="13" t="str">
        <x:v>Q22高分=差距大；Q35高分=通道畅通；其余按题意</x:v>
      </x:c>
      <x:c r="I292" s="2" t="str">
        <x:v>数值版 Sheet1!CT2:CW163</x:v>
      </x:c>
    </x:row>
    <x:row r="293" ht="30" customHeight="1">
      <x:c r="A293" s="2" t="str">
        <x:v>Q24</x:v>
      </x:c>
      <x:c r="B293" s="2" t="str">
        <x:v>五级量表</x:v>
      </x:c>
      <x:c r="C293" s="13" t="str">
        <x:v>E3 中层管理人员:提升运营管理、跨部门协同与团队带教能力</x:v>
      </x:c>
      <x:c r="D293" s="2" t="str">
        <x:v>1分</x:v>
      </x:c>
      <x:c r="E293" s="11" t="n">
        <x:v>4</x:v>
      </x:c>
      <x:c r="F293" s="11" t="n">
        <x:v>162</x:v>
      </x:c>
      <x:c r="G293" s="12" t="n">
        <x:f>IF(F293=0,"n.a.",E293/F293)</x:f>
        <x:v>0.024691358024691357</x:v>
      </x:c>
      <x:c r="H293" s="13" t="str">
        <x:v>Q22高分=差距大；Q35高分=通道畅通；其余按题意</x:v>
      </x:c>
      <x:c r="I293" s="2" t="str">
        <x:v>数值版 Sheet1!CT2:CW163</x:v>
      </x:c>
    </x:row>
    <x:row r="294" ht="30" customHeight="1">
      <x:c r="A294" s="2" t="str">
        <x:v>Q24</x:v>
      </x:c>
      <x:c r="B294" s="2" t="str">
        <x:v>五级量表</x:v>
      </x:c>
      <x:c r="C294" s="13" t="str">
        <x:v>E3 中层管理人员:提升运营管理、跨部门协同与团队带教能力</x:v>
      </x:c>
      <x:c r="D294" s="2" t="str">
        <x:v>2分</x:v>
      </x:c>
      <x:c r="E294" s="11" t="n">
        <x:v>2</x:v>
      </x:c>
      <x:c r="F294" s="11" t="n">
        <x:v>162</x:v>
      </x:c>
      <x:c r="G294" s="12" t="n">
        <x:f>IF(F294=0,"n.a.",E294/F294)</x:f>
        <x:v>0.012345679012345678</x:v>
      </x:c>
      <x:c r="H294" s="13" t="str">
        <x:v>Q22高分=差距大；Q35高分=通道畅通；其余按题意</x:v>
      </x:c>
      <x:c r="I294" s="2" t="str">
        <x:v>数值版 Sheet1!CT2:CW163</x:v>
      </x:c>
    </x:row>
    <x:row r="295" ht="30" customHeight="1">
      <x:c r="A295" s="2" t="str">
        <x:v>Q24</x:v>
      </x:c>
      <x:c r="B295" s="2" t="str">
        <x:v>五级量表</x:v>
      </x:c>
      <x:c r="C295" s="13" t="str">
        <x:v>E3 中层管理人员:提升运营管理、跨部门协同与团队带教能力</x:v>
      </x:c>
      <x:c r="D295" s="2" t="str">
        <x:v>3分</x:v>
      </x:c>
      <x:c r="E295" s="11" t="n">
        <x:v>11</x:v>
      </x:c>
      <x:c r="F295" s="11" t="n">
        <x:v>162</x:v>
      </x:c>
      <x:c r="G295" s="12" t="n">
        <x:f>IF(F295=0,"n.a.",E295/F295)</x:f>
        <x:v>0.06790123456790123</x:v>
      </x:c>
      <x:c r="H295" s="13" t="str">
        <x:v>Q22高分=差距大；Q35高分=通道畅通；其余按题意</x:v>
      </x:c>
      <x:c r="I295" s="2" t="str">
        <x:v>数值版 Sheet1!CT2:CW163</x:v>
      </x:c>
    </x:row>
    <x:row r="296" ht="30" customHeight="1">
      <x:c r="A296" s="2" t="str">
        <x:v>Q24</x:v>
      </x:c>
      <x:c r="B296" s="2" t="str">
        <x:v>五级量表</x:v>
      </x:c>
      <x:c r="C296" s="13" t="str">
        <x:v>E3 中层管理人员:提升运营管理、跨部门协同与团队带教能力</x:v>
      </x:c>
      <x:c r="D296" s="2" t="str">
        <x:v>4分</x:v>
      </x:c>
      <x:c r="E296" s="11" t="n">
        <x:v>25</x:v>
      </x:c>
      <x:c r="F296" s="11" t="n">
        <x:v>162</x:v>
      </x:c>
      <x:c r="G296" s="12" t="n">
        <x:f>IF(F296=0,"n.a.",E296/F296)</x:f>
        <x:v>0.15432098765432098</x:v>
      </x:c>
      <x:c r="H296" s="13" t="str">
        <x:v>Q22高分=差距大；Q35高分=通道畅通；其余按题意</x:v>
      </x:c>
      <x:c r="I296" s="2" t="str">
        <x:v>数值版 Sheet1!CT2:CW163</x:v>
      </x:c>
    </x:row>
    <x:row r="297" ht="30" customHeight="1">
      <x:c r="A297" s="2" t="str">
        <x:v>Q24</x:v>
      </x:c>
      <x:c r="B297" s="2" t="str">
        <x:v>五级量表</x:v>
      </x:c>
      <x:c r="C297" s="13" t="str">
        <x:v>E3 中层管理人员:提升运营管理、跨部门协同与团队带教能力</x:v>
      </x:c>
      <x:c r="D297" s="2" t="str">
        <x:v>5分</x:v>
      </x:c>
      <x:c r="E297" s="11" t="n">
        <x:v>120</x:v>
      </x:c>
      <x:c r="F297" s="11" t="n">
        <x:v>162</x:v>
      </x:c>
      <x:c r="G297" s="12" t="n">
        <x:f>IF(F297=0,"n.a.",E297/F297)</x:f>
        <x:v>0.7407407407407407</x:v>
      </x:c>
      <x:c r="H297" s="13" t="str">
        <x:v>Q22高分=差距大；Q35高分=通道畅通；其余按题意</x:v>
      </x:c>
      <x:c r="I297" s="2" t="str">
        <x:v>数值版 Sheet1!CT2:CW163</x:v>
      </x:c>
    </x:row>
    <x:row r="298" ht="36" customHeight="1">
      <x:c r="A298" s="2" t="str">
        <x:v>Q24</x:v>
      </x:c>
      <x:c r="B298" s="2" t="str">
        <x:v>五级量表</x:v>
      </x:c>
      <x:c r="C298" s="13" t="str">
        <x:v>E4 领军人才（总会计师及院领导）:提升战略思维、行业引领与穿透式监管能力</x:v>
      </x:c>
      <x:c r="D298" s="2" t="str">
        <x:v>1分</x:v>
      </x:c>
      <x:c r="E298" s="11" t="n">
        <x:v>5</x:v>
      </x:c>
      <x:c r="F298" s="11" t="n">
        <x:v>162</x:v>
      </x:c>
      <x:c r="G298" s="12" t="n">
        <x:f>IF(F298=0,"n.a.",E298/F298)</x:f>
        <x:v>0.030864197530864196</x:v>
      </x:c>
      <x:c r="H298" s="13" t="str">
        <x:v>Q22高分=差距大；Q35高分=通道畅通；其余按题意</x:v>
      </x:c>
      <x:c r="I298" s="2" t="str">
        <x:v>数值版 Sheet1!CT2:CW163</x:v>
      </x:c>
    </x:row>
    <x:row r="299" ht="36" customHeight="1">
      <x:c r="A299" s="2" t="str">
        <x:v>Q24</x:v>
      </x:c>
      <x:c r="B299" s="2" t="str">
        <x:v>五级量表</x:v>
      </x:c>
      <x:c r="C299" s="13" t="str">
        <x:v>E4 领军人才（总会计师及院领导）:提升战略思维、行业引领与穿透式监管能力</x:v>
      </x:c>
      <x:c r="D299" s="2" t="str">
        <x:v>2分</x:v>
      </x:c>
      <x:c r="E299" s="11" t="n">
        <x:v>1</x:v>
      </x:c>
      <x:c r="F299" s="11" t="n">
        <x:v>162</x:v>
      </x:c>
      <x:c r="G299" s="12" t="n">
        <x:f>IF(F299=0,"n.a.",E299/F299)</x:f>
        <x:v>0.006172839506172839</x:v>
      </x:c>
      <x:c r="H299" s="13" t="str">
        <x:v>Q22高分=差距大；Q35高分=通道畅通；其余按题意</x:v>
      </x:c>
      <x:c r="I299" s="2" t="str">
        <x:v>数值版 Sheet1!CT2:CW163</x:v>
      </x:c>
    </x:row>
    <x:row r="300" ht="36" customHeight="1">
      <x:c r="A300" s="2" t="str">
        <x:v>Q24</x:v>
      </x:c>
      <x:c r="B300" s="2" t="str">
        <x:v>五级量表</x:v>
      </x:c>
      <x:c r="C300" s="13" t="str">
        <x:v>E4 领军人才（总会计师及院领导）:提升战略思维、行业引领与穿透式监管能力</x:v>
      </x:c>
      <x:c r="D300" s="2" t="str">
        <x:v>3分</x:v>
      </x:c>
      <x:c r="E300" s="11" t="n">
        <x:v>8</x:v>
      </x:c>
      <x:c r="F300" s="11" t="n">
        <x:v>162</x:v>
      </x:c>
      <x:c r="G300" s="12" t="n">
        <x:f>IF(F300=0,"n.a.",E300/F300)</x:f>
        <x:v>0.04938271604938271</x:v>
      </x:c>
      <x:c r="H300" s="13" t="str">
        <x:v>Q22高分=差距大；Q35高分=通道畅通；其余按题意</x:v>
      </x:c>
      <x:c r="I300" s="2" t="str">
        <x:v>数值版 Sheet1!CT2:CW163</x:v>
      </x:c>
    </x:row>
    <x:row r="301" ht="36" customHeight="1">
      <x:c r="A301" s="2" t="str">
        <x:v>Q24</x:v>
      </x:c>
      <x:c r="B301" s="2" t="str">
        <x:v>五级量表</x:v>
      </x:c>
      <x:c r="C301" s="13" t="str">
        <x:v>E4 领军人才（总会计师及院领导）:提升战略思维、行业引领与穿透式监管能力</x:v>
      </x:c>
      <x:c r="D301" s="2" t="str">
        <x:v>4分</x:v>
      </x:c>
      <x:c r="E301" s="11" t="n">
        <x:v>25</x:v>
      </x:c>
      <x:c r="F301" s="11" t="n">
        <x:v>162</x:v>
      </x:c>
      <x:c r="G301" s="12" t="n">
        <x:f>IF(F301=0,"n.a.",E301/F301)</x:f>
        <x:v>0.15432098765432098</x:v>
      </x:c>
      <x:c r="H301" s="13" t="str">
        <x:v>Q22高分=差距大；Q35高分=通道畅通；其余按题意</x:v>
      </x:c>
      <x:c r="I301" s="2" t="str">
        <x:v>数值版 Sheet1!CT2:CW163</x:v>
      </x:c>
    </x:row>
    <x:row r="302" ht="36" customHeight="1">
      <x:c r="A302" s="2" t="str">
        <x:v>Q24</x:v>
      </x:c>
      <x:c r="B302" s="2" t="str">
        <x:v>五级量表</x:v>
      </x:c>
      <x:c r="C302" s="13" t="str">
        <x:v>E4 领军人才（总会计师及院领导）:提升战略思维、行业引领与穿透式监管能力</x:v>
      </x:c>
      <x:c r="D302" s="2" t="str">
        <x:v>5分</x:v>
      </x:c>
      <x:c r="E302" s="11" t="n">
        <x:v>123</x:v>
      </x:c>
      <x:c r="F302" s="11" t="n">
        <x:v>162</x:v>
      </x:c>
      <x:c r="G302" s="12" t="n">
        <x:f>IF(F302=0,"n.a.",E302/F302)</x:f>
        <x:v>0.7592592592592593</x:v>
      </x:c>
      <x:c r="H302" s="13" t="str">
        <x:v>Q22高分=差距大；Q35高分=通道畅通；其余按题意</x:v>
      </x:c>
      <x:c r="I302" s="2" t="str">
        <x:v>数值版 Sheet1!CT2:CW163</x:v>
      </x:c>
    </x:row>
    <x:row r="303" ht="30" customHeight="1">
      <x:c r="A303" s="2" t="str">
        <x:v>Q25</x:v>
      </x:c>
      <x:c r="B303" s="2" t="str">
        <x:v>前三排序</x:v>
      </x:c>
      <x:c r="C303" s="13" t="str">
        <x:v>双导师制（业务导师+财务导师）</x:v>
      </x:c>
      <x:c r="D303" s="2" t="str">
        <x:v>第1名</x:v>
      </x:c>
      <x:c r="E303" s="11" t="n">
        <x:v>33</x:v>
      </x:c>
      <x:c r="F303" s="11" t="n">
        <x:v>162</x:v>
      </x:c>
      <x:c r="G303" s="12" t="n">
        <x:f>IF(F303=0,"n.a.",E303/F303)</x:f>
        <x:v>0.2037037037037037</x:v>
      </x:c>
      <x:c r="H303" s="13" t="str">
        <x:v>首选和前三入选分别统计；0=未进入前三</x:v>
      </x:c>
      <x:c r="I303" s="2" t="str">
        <x:v>数值版 Sheet1!CX2:DE163</x:v>
      </x:c>
    </x:row>
    <x:row r="304" ht="30" customHeight="1">
      <x:c r="A304" s="2" t="str">
        <x:v>Q25</x:v>
      </x:c>
      <x:c r="B304" s="2" t="str">
        <x:v>前三排序</x:v>
      </x:c>
      <x:c r="C304" s="13" t="str">
        <x:v>双导师制（业务导师+财务导师）</x:v>
      </x:c>
      <x:c r="D304" s="2" t="str">
        <x:v>第2名</x:v>
      </x:c>
      <x:c r="E304" s="11" t="n">
        <x:v>8</x:v>
      </x:c>
      <x:c r="F304" s="11" t="n">
        <x:v>162</x:v>
      </x:c>
      <x:c r="G304" s="12" t="n">
        <x:f>IF(F304=0,"n.a.",E304/F304)</x:f>
        <x:v>0.04938271604938271</x:v>
      </x:c>
      <x:c r="H304" s="13" t="str">
        <x:v>首选和前三入选分别统计；0=未进入前三</x:v>
      </x:c>
      <x:c r="I304" s="2" t="str">
        <x:v>数值版 Sheet1!CX2:DE163</x:v>
      </x:c>
    </x:row>
    <x:row r="305" ht="30" customHeight="1">
      <x:c r="A305" s="2" t="str">
        <x:v>Q25</x:v>
      </x:c>
      <x:c r="B305" s="2" t="str">
        <x:v>前三排序</x:v>
      </x:c>
      <x:c r="C305" s="13" t="str">
        <x:v>双导师制（业务导师+财务导师）</x:v>
      </x:c>
      <x:c r="D305" s="2" t="str">
        <x:v>第3名</x:v>
      </x:c>
      <x:c r="E305" s="11" t="n">
        <x:v>21</x:v>
      </x:c>
      <x:c r="F305" s="11" t="n">
        <x:v>162</x:v>
      </x:c>
      <x:c r="G305" s="12" t="n">
        <x:f>IF(F305=0,"n.a.",E305/F305)</x:f>
        <x:v>0.12962962962962962</x:v>
      </x:c>
      <x:c r="H305" s="13" t="str">
        <x:v>首选和前三入选分别统计；0=未进入前三</x:v>
      </x:c>
      <x:c r="I305" s="2" t="str">
        <x:v>数值版 Sheet1!CX2:DE163</x:v>
      </x:c>
    </x:row>
    <x:row r="306" ht="30" customHeight="1">
      <x:c r="A306" s="2" t="str">
        <x:v>Q25</x:v>
      </x:c>
      <x:c r="B306" s="2" t="str">
        <x:v>前三排序</x:v>
      </x:c>
      <x:c r="C306" s="13" t="str">
        <x:v>双导师制（业务导师+财务导师）</x:v>
      </x:c>
      <x:c r="D306" s="2" t="str">
        <x:v>未入前三</x:v>
      </x:c>
      <x:c r="E306" s="11" t="n">
        <x:v>100</x:v>
      </x:c>
      <x:c r="F306" s="11" t="n">
        <x:v>162</x:v>
      </x:c>
      <x:c r="G306" s="12" t="n">
        <x:f>IF(F306=0,"n.a.",E306/F306)</x:f>
        <x:v>0.6172839506172839</x:v>
      </x:c>
      <x:c r="H306" s="13" t="str">
        <x:v>未入前三不等于缺失</x:v>
      </x:c>
      <x:c r="I306" s="2" t="str">
        <x:v>数值版 Sheet1!CX2:DE163</x:v>
      </x:c>
    </x:row>
    <x:row r="307" ht="30" customHeight="1">
      <x:c r="A307" s="2" t="str">
        <x:v>Q25</x:v>
      </x:c>
      <x:c r="B307" s="2" t="str">
        <x:v>前三排序</x:v>
      </x:c>
      <x:c r="C307" s="13" t="str">
        <x:v>跟岗实训/实训医院</x:v>
      </x:c>
      <x:c r="D307" s="2" t="str">
        <x:v>第1名</x:v>
      </x:c>
      <x:c r="E307" s="11" t="n">
        <x:v>65</x:v>
      </x:c>
      <x:c r="F307" s="11" t="n">
        <x:v>162</x:v>
      </x:c>
      <x:c r="G307" s="12" t="n">
        <x:f>IF(F307=0,"n.a.",E307/F307)</x:f>
        <x:v>0.4012345679012346</x:v>
      </x:c>
      <x:c r="H307" s="13" t="str">
        <x:v>首选和前三入选分别统计；0=未进入前三</x:v>
      </x:c>
      <x:c r="I307" s="2" t="str">
        <x:v>数值版 Sheet1!CX2:DE163</x:v>
      </x:c>
    </x:row>
    <x:row r="308" ht="30" customHeight="1">
      <x:c r="A308" s="2" t="str">
        <x:v>Q25</x:v>
      </x:c>
      <x:c r="B308" s="2" t="str">
        <x:v>前三排序</x:v>
      </x:c>
      <x:c r="C308" s="13" t="str">
        <x:v>跟岗实训/实训医院</x:v>
      </x:c>
      <x:c r="D308" s="2" t="str">
        <x:v>第2名</x:v>
      </x:c>
      <x:c r="E308" s="11" t="n">
        <x:v>44</x:v>
      </x:c>
      <x:c r="F308" s="11" t="n">
        <x:v>162</x:v>
      </x:c>
      <x:c r="G308" s="12" t="n">
        <x:f>IF(F308=0,"n.a.",E308/F308)</x:f>
        <x:v>0.2716049382716049</x:v>
      </x:c>
      <x:c r="H308" s="13" t="str">
        <x:v>首选和前三入选分别统计；0=未进入前三</x:v>
      </x:c>
      <x:c r="I308" s="2" t="str">
        <x:v>数值版 Sheet1!CX2:DE163</x:v>
      </x:c>
    </x:row>
    <x:row r="309" ht="30" customHeight="1">
      <x:c r="A309" s="2" t="str">
        <x:v>Q25</x:v>
      </x:c>
      <x:c r="B309" s="2" t="str">
        <x:v>前三排序</x:v>
      </x:c>
      <x:c r="C309" s="13" t="str">
        <x:v>跟岗实训/实训医院</x:v>
      </x:c>
      <x:c r="D309" s="2" t="str">
        <x:v>第3名</x:v>
      </x:c>
      <x:c r="E309" s="11" t="n">
        <x:v>16</x:v>
      </x:c>
      <x:c r="F309" s="11" t="n">
        <x:v>162</x:v>
      </x:c>
      <x:c r="G309" s="12" t="n">
        <x:f>IF(F309=0,"n.a.",E309/F309)</x:f>
        <x:v>0.09876543209876543</x:v>
      </x:c>
      <x:c r="H309" s="13" t="str">
        <x:v>首选和前三入选分别统计；0=未进入前三</x:v>
      </x:c>
      <x:c r="I309" s="2" t="str">
        <x:v>数值版 Sheet1!CX2:DE163</x:v>
      </x:c>
    </x:row>
    <x:row r="310" ht="30" customHeight="1">
      <x:c r="A310" s="2" t="str">
        <x:v>Q25</x:v>
      </x:c>
      <x:c r="B310" s="2" t="str">
        <x:v>前三排序</x:v>
      </x:c>
      <x:c r="C310" s="13" t="str">
        <x:v>跟岗实训/实训医院</x:v>
      </x:c>
      <x:c r="D310" s="2" t="str">
        <x:v>未入前三</x:v>
      </x:c>
      <x:c r="E310" s="11" t="n">
        <x:v>37</x:v>
      </x:c>
      <x:c r="F310" s="11" t="n">
        <x:v>162</x:v>
      </x:c>
      <x:c r="G310" s="12" t="n">
        <x:f>IF(F310=0,"n.a.",E310/F310)</x:f>
        <x:v>0.22839506172839505</x:v>
      </x:c>
      <x:c r="H310" s="13" t="str">
        <x:v>未入前三不等于缺失</x:v>
      </x:c>
      <x:c r="I310" s="2" t="str">
        <x:v>数值版 Sheet1!CX2:DE163</x:v>
      </x:c>
    </x:row>
    <x:row r="311" ht="30" customHeight="1">
      <x:c r="A311" s="2" t="str">
        <x:v>Q25</x:v>
      </x:c>
      <x:c r="B311" s="2" t="str">
        <x:v>前三排序</x:v>
      </x:c>
      <x:c r="C311" s="13" t="str">
        <x:v>真实案例教学与案例库</x:v>
      </x:c>
      <x:c r="D311" s="2" t="str">
        <x:v>第1名</x:v>
      </x:c>
      <x:c r="E311" s="11" t="n">
        <x:v>21</x:v>
      </x:c>
      <x:c r="F311" s="11" t="n">
        <x:v>162</x:v>
      </x:c>
      <x:c r="G311" s="12" t="n">
        <x:f>IF(F311=0,"n.a.",E311/F311)</x:f>
        <x:v>0.12962962962962962</x:v>
      </x:c>
      <x:c r="H311" s="13" t="str">
        <x:v>首选和前三入选分别统计；0=未进入前三</x:v>
      </x:c>
      <x:c r="I311" s="2" t="str">
        <x:v>数值版 Sheet1!CX2:DE163</x:v>
      </x:c>
    </x:row>
    <x:row r="312" ht="30" customHeight="1">
      <x:c r="A312" s="2" t="str">
        <x:v>Q25</x:v>
      </x:c>
      <x:c r="B312" s="2" t="str">
        <x:v>前三排序</x:v>
      </x:c>
      <x:c r="C312" s="13" t="str">
        <x:v>真实案例教学与案例库</x:v>
      </x:c>
      <x:c r="D312" s="2" t="str">
        <x:v>第2名</x:v>
      </x:c>
      <x:c r="E312" s="11" t="n">
        <x:v>39</x:v>
      </x:c>
      <x:c r="F312" s="11" t="n">
        <x:v>162</x:v>
      </x:c>
      <x:c r="G312" s="12" t="n">
        <x:f>IF(F312=0,"n.a.",E312/F312)</x:f>
        <x:v>0.24074074074074073</x:v>
      </x:c>
      <x:c r="H312" s="13" t="str">
        <x:v>首选和前三入选分别统计；0=未进入前三</x:v>
      </x:c>
      <x:c r="I312" s="2" t="str">
        <x:v>数值版 Sheet1!CX2:DE163</x:v>
      </x:c>
    </x:row>
    <x:row r="313" ht="30" customHeight="1">
      <x:c r="A313" s="2" t="str">
        <x:v>Q25</x:v>
      </x:c>
      <x:c r="B313" s="2" t="str">
        <x:v>前三排序</x:v>
      </x:c>
      <x:c r="C313" s="13" t="str">
        <x:v>真实案例教学与案例库</x:v>
      </x:c>
      <x:c r="D313" s="2" t="str">
        <x:v>第3名</x:v>
      </x:c>
      <x:c r="E313" s="11" t="n">
        <x:v>30</x:v>
      </x:c>
      <x:c r="F313" s="11" t="n">
        <x:v>162</x:v>
      </x:c>
      <x:c r="G313" s="12" t="n">
        <x:f>IF(F313=0,"n.a.",E313/F313)</x:f>
        <x:v>0.18518518518518517</x:v>
      </x:c>
      <x:c r="H313" s="13" t="str">
        <x:v>首选和前三入选分别统计；0=未进入前三</x:v>
      </x:c>
      <x:c r="I313" s="2" t="str">
        <x:v>数值版 Sheet1!CX2:DE163</x:v>
      </x:c>
    </x:row>
    <x:row r="314" ht="30" customHeight="1">
      <x:c r="A314" s="2" t="str">
        <x:v>Q25</x:v>
      </x:c>
      <x:c r="B314" s="2" t="str">
        <x:v>前三排序</x:v>
      </x:c>
      <x:c r="C314" s="13" t="str">
        <x:v>真实案例教学与案例库</x:v>
      </x:c>
      <x:c r="D314" s="2" t="str">
        <x:v>未入前三</x:v>
      </x:c>
      <x:c r="E314" s="11" t="n">
        <x:v>72</x:v>
      </x:c>
      <x:c r="F314" s="11" t="n">
        <x:v>162</x:v>
      </x:c>
      <x:c r="G314" s="12" t="n">
        <x:f>IF(F314=0,"n.a.",E314/F314)</x:f>
        <x:v>0.4444444444444444</x:v>
      </x:c>
      <x:c r="H314" s="13" t="str">
        <x:v>未入前三不等于缺失</x:v>
      </x:c>
      <x:c r="I314" s="2" t="str">
        <x:v>数值版 Sheet1!CX2:DE163</x:v>
      </x:c>
    </x:row>
    <x:row r="315" ht="30" customHeight="1">
      <x:c r="A315" s="2" t="str">
        <x:v>Q25</x:v>
      </x:c>
      <x:c r="B315" s="2" t="str">
        <x:v>前三排序</x:v>
      </x:c>
      <x:c r="C315" s="13" t="str">
        <x:v>项目制学习（参与实际管理项目）</x:v>
      </x:c>
      <x:c r="D315" s="2" t="str">
        <x:v>第1名</x:v>
      </x:c>
      <x:c r="E315" s="11" t="n">
        <x:v>30</x:v>
      </x:c>
      <x:c r="F315" s="11" t="n">
        <x:v>162</x:v>
      </x:c>
      <x:c r="G315" s="12" t="n">
        <x:f>IF(F315=0,"n.a.",E315/F315)</x:f>
        <x:v>0.18518518518518517</x:v>
      </x:c>
      <x:c r="H315" s="13" t="str">
        <x:v>首选和前三入选分别统计；0=未进入前三</x:v>
      </x:c>
      <x:c r="I315" s="2" t="str">
        <x:v>数值版 Sheet1!CX2:DE163</x:v>
      </x:c>
    </x:row>
    <x:row r="316" ht="30" customHeight="1">
      <x:c r="A316" s="2" t="str">
        <x:v>Q25</x:v>
      </x:c>
      <x:c r="B316" s="2" t="str">
        <x:v>前三排序</x:v>
      </x:c>
      <x:c r="C316" s="13" t="str">
        <x:v>项目制学习（参与实际管理项目）</x:v>
      </x:c>
      <x:c r="D316" s="2" t="str">
        <x:v>第2名</x:v>
      </x:c>
      <x:c r="E316" s="11" t="n">
        <x:v>33</x:v>
      </x:c>
      <x:c r="F316" s="11" t="n">
        <x:v>162</x:v>
      </x:c>
      <x:c r="G316" s="12" t="n">
        <x:f>IF(F316=0,"n.a.",E316/F316)</x:f>
        <x:v>0.2037037037037037</x:v>
      </x:c>
      <x:c r="H316" s="13" t="str">
        <x:v>首选和前三入选分别统计；0=未进入前三</x:v>
      </x:c>
      <x:c r="I316" s="2" t="str">
        <x:v>数值版 Sheet1!CX2:DE163</x:v>
      </x:c>
    </x:row>
    <x:row r="317" ht="30" customHeight="1">
      <x:c r="A317" s="2" t="str">
        <x:v>Q25</x:v>
      </x:c>
      <x:c r="B317" s="2" t="str">
        <x:v>前三排序</x:v>
      </x:c>
      <x:c r="C317" s="13" t="str">
        <x:v>项目制学习（参与实际管理项目）</x:v>
      </x:c>
      <x:c r="D317" s="2" t="str">
        <x:v>第3名</x:v>
      </x:c>
      <x:c r="E317" s="11" t="n">
        <x:v>32</x:v>
      </x:c>
      <x:c r="F317" s="11" t="n">
        <x:v>162</x:v>
      </x:c>
      <x:c r="G317" s="12" t="n">
        <x:f>IF(F317=0,"n.a.",E317/F317)</x:f>
        <x:v>0.19753086419753085</x:v>
      </x:c>
      <x:c r="H317" s="13" t="str">
        <x:v>首选和前三入选分别统计；0=未进入前三</x:v>
      </x:c>
      <x:c r="I317" s="2" t="str">
        <x:v>数值版 Sheet1!CX2:DE163</x:v>
      </x:c>
    </x:row>
    <x:row r="318" ht="30" customHeight="1">
      <x:c r="A318" s="2" t="str">
        <x:v>Q25</x:v>
      </x:c>
      <x:c r="B318" s="2" t="str">
        <x:v>前三排序</x:v>
      </x:c>
      <x:c r="C318" s="13" t="str">
        <x:v>项目制学习（参与实际管理项目）</x:v>
      </x:c>
      <x:c r="D318" s="2" t="str">
        <x:v>未入前三</x:v>
      </x:c>
      <x:c r="E318" s="11" t="n">
        <x:v>67</x:v>
      </x:c>
      <x:c r="F318" s="11" t="n">
        <x:v>162</x:v>
      </x:c>
      <x:c r="G318" s="12" t="n">
        <x:f>IF(F318=0,"n.a.",E318/F318)</x:f>
        <x:v>0.41358024691358025</x:v>
      </x:c>
      <x:c r="H318" s="13" t="str">
        <x:v>未入前三不等于缺失</x:v>
      </x:c>
      <x:c r="I318" s="2" t="str">
        <x:v>数值版 Sheet1!CX2:DE163</x:v>
      </x:c>
    </x:row>
    <x:row r="319" ht="30" customHeight="1">
      <x:c r="A319" s="2" t="str">
        <x:v>Q25</x:v>
      </x:c>
      <x:c r="B319" s="2" t="str">
        <x:v>前三排序</x:v>
      </x:c>
      <x:c r="C319" s="13" t="str">
        <x:v>学历学位教育</x:v>
      </x:c>
      <x:c r="D319" s="2" t="str">
        <x:v>第1名</x:v>
      </x:c>
      <x:c r="E319" s="11" t="n">
        <x:v>1</x:v>
      </x:c>
      <x:c r="F319" s="11" t="n">
        <x:v>162</x:v>
      </x:c>
      <x:c r="G319" s="12" t="n">
        <x:f>IF(F319=0,"n.a.",E319/F319)</x:f>
        <x:v>0.006172839506172839</x:v>
      </x:c>
      <x:c r="H319" s="13" t="str">
        <x:v>首选和前三入选分别统计；0=未进入前三</x:v>
      </x:c>
      <x:c r="I319" s="2" t="str">
        <x:v>数值版 Sheet1!CX2:DE163</x:v>
      </x:c>
    </x:row>
    <x:row r="320" ht="30" customHeight="1">
      <x:c r="A320" s="2" t="str">
        <x:v>Q25</x:v>
      </x:c>
      <x:c r="B320" s="2" t="str">
        <x:v>前三排序</x:v>
      </x:c>
      <x:c r="C320" s="13" t="str">
        <x:v>学历学位教育</x:v>
      </x:c>
      <x:c r="D320" s="2" t="str">
        <x:v>第2名</x:v>
      </x:c>
      <x:c r="E320" s="11" t="n">
        <x:v>3</x:v>
      </x:c>
      <x:c r="F320" s="11" t="n">
        <x:v>162</x:v>
      </x:c>
      <x:c r="G320" s="12" t="n">
        <x:f>IF(F320=0,"n.a.",E320/F320)</x:f>
        <x:v>0.018518518518518517</x:v>
      </x:c>
      <x:c r="H320" s="13" t="str">
        <x:v>首选和前三入选分别统计；0=未进入前三</x:v>
      </x:c>
      <x:c r="I320" s="2" t="str">
        <x:v>数值版 Sheet1!CX2:DE163</x:v>
      </x:c>
    </x:row>
    <x:row r="321" ht="30" customHeight="1">
      <x:c r="A321" s="2" t="str">
        <x:v>Q25</x:v>
      </x:c>
      <x:c r="B321" s="2" t="str">
        <x:v>前三排序</x:v>
      </x:c>
      <x:c r="C321" s="13" t="str">
        <x:v>学历学位教育</x:v>
      </x:c>
      <x:c r="D321" s="2" t="str">
        <x:v>第3名</x:v>
      </x:c>
      <x:c r="E321" s="11" t="n">
        <x:v>6</x:v>
      </x:c>
      <x:c r="F321" s="11" t="n">
        <x:v>162</x:v>
      </x:c>
      <x:c r="G321" s="12" t="n">
        <x:f>IF(F321=0,"n.a.",E321/F321)</x:f>
        <x:v>0.037037037037037035</x:v>
      </x:c>
      <x:c r="H321" s="13" t="str">
        <x:v>首选和前三入选分别统计；0=未进入前三</x:v>
      </x:c>
      <x:c r="I321" s="2" t="str">
        <x:v>数值版 Sheet1!CX2:DE163</x:v>
      </x:c>
    </x:row>
    <x:row r="322" ht="30" customHeight="1">
      <x:c r="A322" s="2" t="str">
        <x:v>Q25</x:v>
      </x:c>
      <x:c r="B322" s="2" t="str">
        <x:v>前三排序</x:v>
      </x:c>
      <x:c r="C322" s="13" t="str">
        <x:v>学历学位教育</x:v>
      </x:c>
      <x:c r="D322" s="2" t="str">
        <x:v>未入前三</x:v>
      </x:c>
      <x:c r="E322" s="11" t="n">
        <x:v>152</x:v>
      </x:c>
      <x:c r="F322" s="11" t="n">
        <x:v>162</x:v>
      </x:c>
      <x:c r="G322" s="12" t="n">
        <x:f>IF(F322=0,"n.a.",E322/F322)</x:f>
        <x:v>0.9382716049382716</x:v>
      </x:c>
      <x:c r="H322" s="13" t="str">
        <x:v>未入前三不等于缺失</x:v>
      </x:c>
      <x:c r="I322" s="2" t="str">
        <x:v>数值版 Sheet1!CX2:DE163</x:v>
      </x:c>
    </x:row>
    <x:row r="323" ht="30" customHeight="1">
      <x:c r="A323" s="2" t="str">
        <x:v>Q25</x:v>
      </x:c>
      <x:c r="B323" s="2" t="str">
        <x:v>前三排序</x:v>
      </x:c>
      <x:c r="C323" s="13" t="str">
        <x:v>短期专题研修</x:v>
      </x:c>
      <x:c r="D323" s="2" t="str">
        <x:v>第1名</x:v>
      </x:c>
      <x:c r="E323" s="11" t="n">
        <x:v>1</x:v>
      </x:c>
      <x:c r="F323" s="11" t="n">
        <x:v>162</x:v>
      </x:c>
      <x:c r="G323" s="12" t="n">
        <x:f>IF(F323=0,"n.a.",E323/F323)</x:f>
        <x:v>0.006172839506172839</x:v>
      </x:c>
      <x:c r="H323" s="13" t="str">
        <x:v>首选和前三入选分别统计；0=未进入前三</x:v>
      </x:c>
      <x:c r="I323" s="2" t="str">
        <x:v>数值版 Sheet1!CX2:DE163</x:v>
      </x:c>
    </x:row>
    <x:row r="324" ht="30" customHeight="1">
      <x:c r="A324" s="2" t="str">
        <x:v>Q25</x:v>
      </x:c>
      <x:c r="B324" s="2" t="str">
        <x:v>前三排序</x:v>
      </x:c>
      <x:c r="C324" s="13" t="str">
        <x:v>短期专题研修</x:v>
      </x:c>
      <x:c r="D324" s="2" t="str">
        <x:v>第2名</x:v>
      </x:c>
      <x:c r="E324" s="11" t="n">
        <x:v>12</x:v>
      </x:c>
      <x:c r="F324" s="11" t="n">
        <x:v>162</x:v>
      </x:c>
      <x:c r="G324" s="12" t="n">
        <x:f>IF(F324=0,"n.a.",E324/F324)</x:f>
        <x:v>0.07407407407407407</x:v>
      </x:c>
      <x:c r="H324" s="13" t="str">
        <x:v>首选和前三入选分别统计；0=未进入前三</x:v>
      </x:c>
      <x:c r="I324" s="2" t="str">
        <x:v>数值版 Sheet1!CX2:DE163</x:v>
      </x:c>
    </x:row>
    <x:row r="325" ht="30" customHeight="1">
      <x:c r="A325" s="2" t="str">
        <x:v>Q25</x:v>
      </x:c>
      <x:c r="B325" s="2" t="str">
        <x:v>前三排序</x:v>
      </x:c>
      <x:c r="C325" s="13" t="str">
        <x:v>短期专题研修</x:v>
      </x:c>
      <x:c r="D325" s="2" t="str">
        <x:v>第3名</x:v>
      </x:c>
      <x:c r="E325" s="11" t="n">
        <x:v>15</x:v>
      </x:c>
      <x:c r="F325" s="11" t="n">
        <x:v>162</x:v>
      </x:c>
      <x:c r="G325" s="12" t="n">
        <x:f>IF(F325=0,"n.a.",E325/F325)</x:f>
        <x:v>0.09259259259259259</x:v>
      </x:c>
      <x:c r="H325" s="13" t="str">
        <x:v>首选和前三入选分别统计；0=未进入前三</x:v>
      </x:c>
      <x:c r="I325" s="2" t="str">
        <x:v>数值版 Sheet1!CX2:DE163</x:v>
      </x:c>
    </x:row>
    <x:row r="326" ht="30" customHeight="1">
      <x:c r="A326" s="2" t="str">
        <x:v>Q25</x:v>
      </x:c>
      <x:c r="B326" s="2" t="str">
        <x:v>前三排序</x:v>
      </x:c>
      <x:c r="C326" s="13" t="str">
        <x:v>短期专题研修</x:v>
      </x:c>
      <x:c r="D326" s="2" t="str">
        <x:v>未入前三</x:v>
      </x:c>
      <x:c r="E326" s="11" t="n">
        <x:v>134</x:v>
      </x:c>
      <x:c r="F326" s="11" t="n">
        <x:v>162</x:v>
      </x:c>
      <x:c r="G326" s="12" t="n">
        <x:f>IF(F326=0,"n.a.",E326/F326)</x:f>
        <x:v>0.8271604938271605</x:v>
      </x:c>
      <x:c r="H326" s="13" t="str">
        <x:v>未入前三不等于缺失</x:v>
      </x:c>
      <x:c r="I326" s="2" t="str">
        <x:v>数值版 Sheet1!CX2:DE163</x:v>
      </x:c>
    </x:row>
    <x:row r="327" ht="30" customHeight="1">
      <x:c r="A327" s="2" t="str">
        <x:v>Q25</x:v>
      </x:c>
      <x:c r="B327" s="2" t="str">
        <x:v>前三排序</x:v>
      </x:c>
      <x:c r="C327" s="13" t="str">
        <x:v>线上自主学习平台</x:v>
      </x:c>
      <x:c r="D327" s="2" t="str">
        <x:v>第1名</x:v>
      </x:c>
      <x:c r="E327" s="11" t="n">
        <x:v>2</x:v>
      </x:c>
      <x:c r="F327" s="11" t="n">
        <x:v>162</x:v>
      </x:c>
      <x:c r="G327" s="12" t="n">
        <x:f>IF(F327=0,"n.a.",E327/F327)</x:f>
        <x:v>0.012345679012345678</x:v>
      </x:c>
      <x:c r="H327" s="13" t="str">
        <x:v>首选和前三入选分别统计；0=未进入前三</x:v>
      </x:c>
      <x:c r="I327" s="2" t="str">
        <x:v>数值版 Sheet1!CX2:DE163</x:v>
      </x:c>
    </x:row>
    <x:row r="328" ht="30" customHeight="1">
      <x:c r="A328" s="2" t="str">
        <x:v>Q25</x:v>
      </x:c>
      <x:c r="B328" s="2" t="str">
        <x:v>前三排序</x:v>
      </x:c>
      <x:c r="C328" s="13" t="str">
        <x:v>线上自主学习平台</x:v>
      </x:c>
      <x:c r="D328" s="2" t="str">
        <x:v>第2名</x:v>
      </x:c>
      <x:c r="E328" s="11" t="n">
        <x:v>1</x:v>
      </x:c>
      <x:c r="F328" s="11" t="n">
        <x:v>162</x:v>
      </x:c>
      <x:c r="G328" s="12" t="n">
        <x:f>IF(F328=0,"n.a.",E328/F328)</x:f>
        <x:v>0.006172839506172839</x:v>
      </x:c>
      <x:c r="H328" s="13" t="str">
        <x:v>首选和前三入选分别统计；0=未进入前三</x:v>
      </x:c>
      <x:c r="I328" s="2" t="str">
        <x:v>数值版 Sheet1!CX2:DE163</x:v>
      </x:c>
    </x:row>
    <x:row r="329" ht="30" customHeight="1">
      <x:c r="A329" s="2" t="str">
        <x:v>Q25</x:v>
      </x:c>
      <x:c r="B329" s="2" t="str">
        <x:v>前三排序</x:v>
      </x:c>
      <x:c r="C329" s="13" t="str">
        <x:v>线上自主学习平台</x:v>
      </x:c>
      <x:c r="D329" s="2" t="str">
        <x:v>第3名</x:v>
      </x:c>
      <x:c r="E329" s="11" t="n">
        <x:v>1</x:v>
      </x:c>
      <x:c r="F329" s="11" t="n">
        <x:v>162</x:v>
      </x:c>
      <x:c r="G329" s="12" t="n">
        <x:f>IF(F329=0,"n.a.",E329/F329)</x:f>
        <x:v>0.006172839506172839</x:v>
      </x:c>
      <x:c r="H329" s="13" t="str">
        <x:v>首选和前三入选分别统计；0=未进入前三</x:v>
      </x:c>
      <x:c r="I329" s="2" t="str">
        <x:v>数值版 Sheet1!CX2:DE163</x:v>
      </x:c>
    </x:row>
    <x:row r="330" ht="30" customHeight="1">
      <x:c r="A330" s="2" t="str">
        <x:v>Q25</x:v>
      </x:c>
      <x:c r="B330" s="2" t="str">
        <x:v>前三排序</x:v>
      </x:c>
      <x:c r="C330" s="13" t="str">
        <x:v>线上自主学习平台</x:v>
      </x:c>
      <x:c r="D330" s="2" t="str">
        <x:v>未入前三</x:v>
      </x:c>
      <x:c r="E330" s="11" t="n">
        <x:v>158</x:v>
      </x:c>
      <x:c r="F330" s="11" t="n">
        <x:v>162</x:v>
      </x:c>
      <x:c r="G330" s="12" t="n">
        <x:f>IF(F330=0,"n.a.",E330/F330)</x:f>
        <x:v>0.9753086419753086</x:v>
      </x:c>
      <x:c r="H330" s="13" t="str">
        <x:v>未入前三不等于缺失</x:v>
      </x:c>
      <x:c r="I330" s="2" t="str">
        <x:v>数值版 Sheet1!CX2:DE163</x:v>
      </x:c>
    </x:row>
    <x:row r="331" ht="30" customHeight="1">
      <x:c r="A331" s="2" t="str">
        <x:v>Q25</x:v>
      </x:c>
      <x:c r="B331" s="2" t="str">
        <x:v>前三排序</x:v>
      </x:c>
      <x:c r="C331" s="13" t="str">
        <x:v>跨部门交流挂职</x:v>
      </x:c>
      <x:c r="D331" s="2" t="str">
        <x:v>第1名</x:v>
      </x:c>
      <x:c r="E331" s="11" t="n">
        <x:v>9</x:v>
      </x:c>
      <x:c r="F331" s="11" t="n">
        <x:v>162</x:v>
      </x:c>
      <x:c r="G331" s="12" t="n">
        <x:f>IF(F331=0,"n.a.",E331/F331)</x:f>
        <x:v>0.05555555555555555</x:v>
      </x:c>
      <x:c r="H331" s="13" t="str">
        <x:v>首选和前三入选分别统计；0=未进入前三</x:v>
      </x:c>
      <x:c r="I331" s="2" t="str">
        <x:v>数值版 Sheet1!CX2:DE163</x:v>
      </x:c>
    </x:row>
    <x:row r="332" ht="30" customHeight="1">
      <x:c r="A332" s="2" t="str">
        <x:v>Q25</x:v>
      </x:c>
      <x:c r="B332" s="2" t="str">
        <x:v>前三排序</x:v>
      </x:c>
      <x:c r="C332" s="13" t="str">
        <x:v>跨部门交流挂职</x:v>
      </x:c>
      <x:c r="D332" s="2" t="str">
        <x:v>第2名</x:v>
      </x:c>
      <x:c r="E332" s="11" t="n">
        <x:v>22</x:v>
      </x:c>
      <x:c r="F332" s="11" t="n">
        <x:v>162</x:v>
      </x:c>
      <x:c r="G332" s="12" t="n">
        <x:f>IF(F332=0,"n.a.",E332/F332)</x:f>
        <x:v>0.13580246913580246</x:v>
      </x:c>
      <x:c r="H332" s="13" t="str">
        <x:v>首选和前三入选分别统计；0=未进入前三</x:v>
      </x:c>
      <x:c r="I332" s="2" t="str">
        <x:v>数值版 Sheet1!CX2:DE163</x:v>
      </x:c>
    </x:row>
    <x:row r="333" ht="30" customHeight="1">
      <x:c r="A333" s="2" t="str">
        <x:v>Q25</x:v>
      </x:c>
      <x:c r="B333" s="2" t="str">
        <x:v>前三排序</x:v>
      </x:c>
      <x:c r="C333" s="13" t="str">
        <x:v>跨部门交流挂职</x:v>
      </x:c>
      <x:c r="D333" s="2" t="str">
        <x:v>第3名</x:v>
      </x:c>
      <x:c r="E333" s="11" t="n">
        <x:v>41</x:v>
      </x:c>
      <x:c r="F333" s="11" t="n">
        <x:v>162</x:v>
      </x:c>
      <x:c r="G333" s="12" t="n">
        <x:f>IF(F333=0,"n.a.",E333/F333)</x:f>
        <x:v>0.25308641975308643</x:v>
      </x:c>
      <x:c r="H333" s="13" t="str">
        <x:v>首选和前三入选分别统计；0=未进入前三</x:v>
      </x:c>
      <x:c r="I333" s="2" t="str">
        <x:v>数值版 Sheet1!CX2:DE163</x:v>
      </x:c>
    </x:row>
    <x:row r="334" ht="30" customHeight="1">
      <x:c r="A334" s="2" t="str">
        <x:v>Q25</x:v>
      </x:c>
      <x:c r="B334" s="2" t="str">
        <x:v>前三排序</x:v>
      </x:c>
      <x:c r="C334" s="13" t="str">
        <x:v>跨部门交流挂职</x:v>
      </x:c>
      <x:c r="D334" s="2" t="str">
        <x:v>未入前三</x:v>
      </x:c>
      <x:c r="E334" s="11" t="n">
        <x:v>90</x:v>
      </x:c>
      <x:c r="F334" s="11" t="n">
        <x:v>162</x:v>
      </x:c>
      <x:c r="G334" s="12" t="n">
        <x:f>IF(F334=0,"n.a.",E334/F334)</x:f>
        <x:v>0.5555555555555556</x:v>
      </x:c>
      <x:c r="H334" s="13" t="str">
        <x:v>未入前三不等于缺失</x:v>
      </x:c>
      <x:c r="I334" s="2" t="str">
        <x:v>数值版 Sheet1!CX2:DE163</x:v>
      </x:c>
    </x:row>
    <x:row r="335" ht="30" customHeight="1">
      <x:c r="A335" s="2" t="str">
        <x:v>Q26</x:v>
      </x:c>
      <x:c r="B335" s="2" t="str">
        <x:v>五级量表</x:v>
      </x:c>
      <x:c r="C335" s="13" t="str">
        <x:v>F1 战略管理与领导力</x:v>
      </x:c>
      <x:c r="D335" s="2" t="str">
        <x:v>1分</x:v>
      </x:c>
      <x:c r="E335" s="11" t="n">
        <x:v>0</x:v>
      </x:c>
      <x:c r="F335" s="11" t="n">
        <x:v>162</x:v>
      </x:c>
      <x:c r="G335" s="12" t="n">
        <x:f>IF(F335=0,"n.a.",E335/F335)</x:f>
        <x:v>0</x:v>
      </x:c>
      <x:c r="H335" s="13" t="str">
        <x:v>Q22高分=差距大；Q35高分=通道畅通；其余按题意</x:v>
      </x:c>
      <x:c r="I335" s="2" t="str">
        <x:v>数值版 Sheet1!DF2:DO163</x:v>
      </x:c>
    </x:row>
    <x:row r="336" ht="30" customHeight="1">
      <x:c r="A336" s="2" t="str">
        <x:v>Q26</x:v>
      </x:c>
      <x:c r="B336" s="2" t="str">
        <x:v>五级量表</x:v>
      </x:c>
      <x:c r="C336" s="13" t="str">
        <x:v>F1 战略管理与领导力</x:v>
      </x:c>
      <x:c r="D336" s="2" t="str">
        <x:v>2分</x:v>
      </x:c>
      <x:c r="E336" s="11" t="n">
        <x:v>5</x:v>
      </x:c>
      <x:c r="F336" s="11" t="n">
        <x:v>162</x:v>
      </x:c>
      <x:c r="G336" s="12" t="n">
        <x:f>IF(F336=0,"n.a.",E336/F336)</x:f>
        <x:v>0.030864197530864196</x:v>
      </x:c>
      <x:c r="H336" s="13" t="str">
        <x:v>Q22高分=差距大；Q35高分=通道畅通；其余按题意</x:v>
      </x:c>
      <x:c r="I336" s="2" t="str">
        <x:v>数值版 Sheet1!DF2:DO163</x:v>
      </x:c>
    </x:row>
    <x:row r="337" ht="30" customHeight="1">
      <x:c r="A337" s="2" t="str">
        <x:v>Q26</x:v>
      </x:c>
      <x:c r="B337" s="2" t="str">
        <x:v>五级量表</x:v>
      </x:c>
      <x:c r="C337" s="13" t="str">
        <x:v>F1 战略管理与领导力</x:v>
      </x:c>
      <x:c r="D337" s="2" t="str">
        <x:v>3分</x:v>
      </x:c>
      <x:c r="E337" s="11" t="n">
        <x:v>26</x:v>
      </x:c>
      <x:c r="F337" s="11" t="n">
        <x:v>162</x:v>
      </x:c>
      <x:c r="G337" s="12" t="n">
        <x:f>IF(F337=0,"n.a.",E337/F337)</x:f>
        <x:v>0.16049382716049382</x:v>
      </x:c>
      <x:c r="H337" s="13" t="str">
        <x:v>Q22高分=差距大；Q35高分=通道畅通；其余按题意</x:v>
      </x:c>
      <x:c r="I337" s="2" t="str">
        <x:v>数值版 Sheet1!DF2:DO163</x:v>
      </x:c>
    </x:row>
    <x:row r="338" ht="30" customHeight="1">
      <x:c r="A338" s="2" t="str">
        <x:v>Q26</x:v>
      </x:c>
      <x:c r="B338" s="2" t="str">
        <x:v>五级量表</x:v>
      </x:c>
      <x:c r="C338" s="13" t="str">
        <x:v>F1 战略管理与领导力</x:v>
      </x:c>
      <x:c r="D338" s="2" t="str">
        <x:v>4分</x:v>
      </x:c>
      <x:c r="E338" s="11" t="n">
        <x:v>49</x:v>
      </x:c>
      <x:c r="F338" s="11" t="n">
        <x:v>162</x:v>
      </x:c>
      <x:c r="G338" s="12" t="n">
        <x:f>IF(F338=0,"n.a.",E338/F338)</x:f>
        <x:v>0.30246913580246915</x:v>
      </x:c>
      <x:c r="H338" s="13" t="str">
        <x:v>Q22高分=差距大；Q35高分=通道畅通；其余按题意</x:v>
      </x:c>
      <x:c r="I338" s="2" t="str">
        <x:v>数值版 Sheet1!DF2:DO163</x:v>
      </x:c>
    </x:row>
    <x:row r="339" ht="30" customHeight="1">
      <x:c r="A339" s="2" t="str">
        <x:v>Q26</x:v>
      </x:c>
      <x:c r="B339" s="2" t="str">
        <x:v>五级量表</x:v>
      </x:c>
      <x:c r="C339" s="13" t="str">
        <x:v>F1 战略管理与领导力</x:v>
      </x:c>
      <x:c r="D339" s="2" t="str">
        <x:v>5分</x:v>
      </x:c>
      <x:c r="E339" s="11" t="n">
        <x:v>82</x:v>
      </x:c>
      <x:c r="F339" s="11" t="n">
        <x:v>162</x:v>
      </x:c>
      <x:c r="G339" s="12" t="n">
        <x:f>IF(F339=0,"n.a.",E339/F339)</x:f>
        <x:v>0.5061728395061729</x:v>
      </x:c>
      <x:c r="H339" s="13" t="str">
        <x:v>Q22高分=差距大；Q35高分=通道畅通；其余按题意</x:v>
      </x:c>
      <x:c r="I339" s="2" t="str">
        <x:v>数值版 Sheet1!DF2:DO163</x:v>
      </x:c>
    </x:row>
    <x:row r="340" ht="30" customHeight="1">
      <x:c r="A340" s="2" t="str">
        <x:v>Q26</x:v>
      </x:c>
      <x:c r="B340" s="2" t="str">
        <x:v>五级量表</x:v>
      </x:c>
      <x:c r="C340" s="13" t="str">
        <x:v>F2 卫生政策与财经法规</x:v>
      </x:c>
      <x:c r="D340" s="2" t="str">
        <x:v>1分</x:v>
      </x:c>
      <x:c r="E340" s="11" t="n">
        <x:v>0</x:v>
      </x:c>
      <x:c r="F340" s="11" t="n">
        <x:v>162</x:v>
      </x:c>
      <x:c r="G340" s="12" t="n">
        <x:f>IF(F340=0,"n.a.",E340/F340)</x:f>
        <x:v>0</x:v>
      </x:c>
      <x:c r="H340" s="13" t="str">
        <x:v>Q22高分=差距大；Q35高分=通道畅通；其余按题意</x:v>
      </x:c>
      <x:c r="I340" s="2" t="str">
        <x:v>数值版 Sheet1!DF2:DO163</x:v>
      </x:c>
    </x:row>
    <x:row r="341" ht="30" customHeight="1">
      <x:c r="A341" s="2" t="str">
        <x:v>Q26</x:v>
      </x:c>
      <x:c r="B341" s="2" t="str">
        <x:v>五级量表</x:v>
      </x:c>
      <x:c r="C341" s="13" t="str">
        <x:v>F2 卫生政策与财经法规</x:v>
      </x:c>
      <x:c r="D341" s="2" t="str">
        <x:v>2分</x:v>
      </x:c>
      <x:c r="E341" s="11" t="n">
        <x:v>2</x:v>
      </x:c>
      <x:c r="F341" s="11" t="n">
        <x:v>162</x:v>
      </x:c>
      <x:c r="G341" s="12" t="n">
        <x:f>IF(F341=0,"n.a.",E341/F341)</x:f>
        <x:v>0.012345679012345678</x:v>
      </x:c>
      <x:c r="H341" s="13" t="str">
        <x:v>Q22高分=差距大；Q35高分=通道畅通；其余按题意</x:v>
      </x:c>
      <x:c r="I341" s="2" t="str">
        <x:v>数值版 Sheet1!DF2:DO163</x:v>
      </x:c>
    </x:row>
    <x:row r="342" ht="30" customHeight="1">
      <x:c r="A342" s="2" t="str">
        <x:v>Q26</x:v>
      </x:c>
      <x:c r="B342" s="2" t="str">
        <x:v>五级量表</x:v>
      </x:c>
      <x:c r="C342" s="13" t="str">
        <x:v>F2 卫生政策与财经法规</x:v>
      </x:c>
      <x:c r="D342" s="2" t="str">
        <x:v>3分</x:v>
      </x:c>
      <x:c r="E342" s="11" t="n">
        <x:v>13</x:v>
      </x:c>
      <x:c r="F342" s="11" t="n">
        <x:v>162</x:v>
      </x:c>
      <x:c r="G342" s="12" t="n">
        <x:f>IF(F342=0,"n.a.",E342/F342)</x:f>
        <x:v>0.08024691358024691</x:v>
      </x:c>
      <x:c r="H342" s="13" t="str">
        <x:v>Q22高分=差距大；Q35高分=通道畅通；其余按题意</x:v>
      </x:c>
      <x:c r="I342" s="2" t="str">
        <x:v>数值版 Sheet1!DF2:DO163</x:v>
      </x:c>
    </x:row>
    <x:row r="343" ht="30" customHeight="1">
      <x:c r="A343" s="2" t="str">
        <x:v>Q26</x:v>
      </x:c>
      <x:c r="B343" s="2" t="str">
        <x:v>五级量表</x:v>
      </x:c>
      <x:c r="C343" s="13" t="str">
        <x:v>F2 卫生政策与财经法规</x:v>
      </x:c>
      <x:c r="D343" s="2" t="str">
        <x:v>4分</x:v>
      </x:c>
      <x:c r="E343" s="11" t="n">
        <x:v>41</x:v>
      </x:c>
      <x:c r="F343" s="11" t="n">
        <x:v>162</x:v>
      </x:c>
      <x:c r="G343" s="12" t="n">
        <x:f>IF(F343=0,"n.a.",E343/F343)</x:f>
        <x:v>0.25308641975308643</x:v>
      </x:c>
      <x:c r="H343" s="13" t="str">
        <x:v>Q22高分=差距大；Q35高分=通道畅通；其余按题意</x:v>
      </x:c>
      <x:c r="I343" s="2" t="str">
        <x:v>数值版 Sheet1!DF2:DO163</x:v>
      </x:c>
    </x:row>
    <x:row r="344" ht="30" customHeight="1">
      <x:c r="A344" s="2" t="str">
        <x:v>Q26</x:v>
      </x:c>
      <x:c r="B344" s="2" t="str">
        <x:v>五级量表</x:v>
      </x:c>
      <x:c r="C344" s="13" t="str">
        <x:v>F2 卫生政策与财经法规</x:v>
      </x:c>
      <x:c r="D344" s="2" t="str">
        <x:v>5分</x:v>
      </x:c>
      <x:c r="E344" s="11" t="n">
        <x:v>106</x:v>
      </x:c>
      <x:c r="F344" s="11" t="n">
        <x:v>162</x:v>
      </x:c>
      <x:c r="G344" s="12" t="n">
        <x:f>IF(F344=0,"n.a.",E344/F344)</x:f>
        <x:v>0.654320987654321</x:v>
      </x:c>
      <x:c r="H344" s="13" t="str">
        <x:v>Q22高分=差距大；Q35高分=通道畅通；其余按题意</x:v>
      </x:c>
      <x:c r="I344" s="2" t="str">
        <x:v>数值版 Sheet1!DF2:DO163</x:v>
      </x:c>
    </x:row>
    <x:row r="345" ht="30" customHeight="1">
      <x:c r="A345" s="2" t="str">
        <x:v>Q26</x:v>
      </x:c>
      <x:c r="B345" s="2" t="str">
        <x:v>五级量表</x:v>
      </x:c>
      <x:c r="C345" s="13" t="str">
        <x:v>F3 医疗业务流程与临床认知</x:v>
      </x:c>
      <x:c r="D345" s="2" t="str">
        <x:v>1分</x:v>
      </x:c>
      <x:c r="E345" s="11" t="n">
        <x:v>0</x:v>
      </x:c>
      <x:c r="F345" s="11" t="n">
        <x:v>162</x:v>
      </x:c>
      <x:c r="G345" s="12" t="n">
        <x:f>IF(F345=0,"n.a.",E345/F345)</x:f>
        <x:v>0</x:v>
      </x:c>
      <x:c r="H345" s="13" t="str">
        <x:v>Q22高分=差距大；Q35高分=通道畅通；其余按题意</x:v>
      </x:c>
      <x:c r="I345" s="2" t="str">
        <x:v>数值版 Sheet1!DF2:DO163</x:v>
      </x:c>
    </x:row>
    <x:row r="346" ht="30" customHeight="1">
      <x:c r="A346" s="2" t="str">
        <x:v>Q26</x:v>
      </x:c>
      <x:c r="B346" s="2" t="str">
        <x:v>五级量表</x:v>
      </x:c>
      <x:c r="C346" s="13" t="str">
        <x:v>F3 医疗业务流程与临床认知</x:v>
      </x:c>
      <x:c r="D346" s="2" t="str">
        <x:v>2分</x:v>
      </x:c>
      <x:c r="E346" s="11" t="n">
        <x:v>1</x:v>
      </x:c>
      <x:c r="F346" s="11" t="n">
        <x:v>162</x:v>
      </x:c>
      <x:c r="G346" s="12" t="n">
        <x:f>IF(F346=0,"n.a.",E346/F346)</x:f>
        <x:v>0.006172839506172839</x:v>
      </x:c>
      <x:c r="H346" s="13" t="str">
        <x:v>Q22高分=差距大；Q35高分=通道畅通；其余按题意</x:v>
      </x:c>
      <x:c r="I346" s="2" t="str">
        <x:v>数值版 Sheet1!DF2:DO163</x:v>
      </x:c>
    </x:row>
    <x:row r="347" ht="30" customHeight="1">
      <x:c r="A347" s="2" t="str">
        <x:v>Q26</x:v>
      </x:c>
      <x:c r="B347" s="2" t="str">
        <x:v>五级量表</x:v>
      </x:c>
      <x:c r="C347" s="13" t="str">
        <x:v>F3 医疗业务流程与临床认知</x:v>
      </x:c>
      <x:c r="D347" s="2" t="str">
        <x:v>3分</x:v>
      </x:c>
      <x:c r="E347" s="11" t="n">
        <x:v>11</x:v>
      </x:c>
      <x:c r="F347" s="11" t="n">
        <x:v>162</x:v>
      </x:c>
      <x:c r="G347" s="12" t="n">
        <x:f>IF(F347=0,"n.a.",E347/F347)</x:f>
        <x:v>0.06790123456790123</x:v>
      </x:c>
      <x:c r="H347" s="13" t="str">
        <x:v>Q22高分=差距大；Q35高分=通道畅通；其余按题意</x:v>
      </x:c>
      <x:c r="I347" s="2" t="str">
        <x:v>数值版 Sheet1!DF2:DO163</x:v>
      </x:c>
    </x:row>
    <x:row r="348" ht="30" customHeight="1">
      <x:c r="A348" s="2" t="str">
        <x:v>Q26</x:v>
      </x:c>
      <x:c r="B348" s="2" t="str">
        <x:v>五级量表</x:v>
      </x:c>
      <x:c r="C348" s="13" t="str">
        <x:v>F3 医疗业务流程与临床认知</x:v>
      </x:c>
      <x:c r="D348" s="2" t="str">
        <x:v>4分</x:v>
      </x:c>
      <x:c r="E348" s="11" t="n">
        <x:v>49</x:v>
      </x:c>
      <x:c r="F348" s="11" t="n">
        <x:v>162</x:v>
      </x:c>
      <x:c r="G348" s="12" t="n">
        <x:f>IF(F348=0,"n.a.",E348/F348)</x:f>
        <x:v>0.30246913580246915</x:v>
      </x:c>
      <x:c r="H348" s="13" t="str">
        <x:v>Q22高分=差距大；Q35高分=通道畅通；其余按题意</x:v>
      </x:c>
      <x:c r="I348" s="2" t="str">
        <x:v>数值版 Sheet1!DF2:DO163</x:v>
      </x:c>
    </x:row>
    <x:row r="349" ht="30" customHeight="1">
      <x:c r="A349" s="2" t="str">
        <x:v>Q26</x:v>
      </x:c>
      <x:c r="B349" s="2" t="str">
        <x:v>五级量表</x:v>
      </x:c>
      <x:c r="C349" s="13" t="str">
        <x:v>F3 医疗业务流程与临床认知</x:v>
      </x:c>
      <x:c r="D349" s="2" t="str">
        <x:v>5分</x:v>
      </x:c>
      <x:c r="E349" s="11" t="n">
        <x:v>101</x:v>
      </x:c>
      <x:c r="F349" s="11" t="n">
        <x:v>162</x:v>
      </x:c>
      <x:c r="G349" s="12" t="n">
        <x:f>IF(F349=0,"n.a.",E349/F349)</x:f>
        <x:v>0.6234567901234568</x:v>
      </x:c>
      <x:c r="H349" s="13" t="str">
        <x:v>Q22高分=差距大；Q35高分=通道畅通；其余按题意</x:v>
      </x:c>
      <x:c r="I349" s="2" t="str">
        <x:v>数值版 Sheet1!DF2:DO163</x:v>
      </x:c>
    </x:row>
    <x:row r="350" ht="30" customHeight="1">
      <x:c r="A350" s="2" t="str">
        <x:v>Q26</x:v>
      </x:c>
      <x:c r="B350" s="2" t="str">
        <x:v>五级量表</x:v>
      </x:c>
      <x:c r="C350" s="13" t="str">
        <x:v>F4 跨部门沟通与协同管理</x:v>
      </x:c>
      <x:c r="D350" s="2" t="str">
        <x:v>1分</x:v>
      </x:c>
      <x:c r="E350" s="11" t="n">
        <x:v>0</x:v>
      </x:c>
      <x:c r="F350" s="11" t="n">
        <x:v>162</x:v>
      </x:c>
      <x:c r="G350" s="12" t="n">
        <x:f>IF(F350=0,"n.a.",E350/F350)</x:f>
        <x:v>0</x:v>
      </x:c>
      <x:c r="H350" s="13" t="str">
        <x:v>Q22高分=差距大；Q35高分=通道畅通；其余按题意</x:v>
      </x:c>
      <x:c r="I350" s="2" t="str">
        <x:v>数值版 Sheet1!DF2:DO163</x:v>
      </x:c>
    </x:row>
    <x:row r="351" ht="30" customHeight="1">
      <x:c r="A351" s="2" t="str">
        <x:v>Q26</x:v>
      </x:c>
      <x:c r="B351" s="2" t="str">
        <x:v>五级量表</x:v>
      </x:c>
      <x:c r="C351" s="13" t="str">
        <x:v>F4 跨部门沟通与协同管理</x:v>
      </x:c>
      <x:c r="D351" s="2" t="str">
        <x:v>2分</x:v>
      </x:c>
      <x:c r="E351" s="11" t="n">
        <x:v>0</x:v>
      </x:c>
      <x:c r="F351" s="11" t="n">
        <x:v>162</x:v>
      </x:c>
      <x:c r="G351" s="12" t="n">
        <x:f>IF(F351=0,"n.a.",E351/F351)</x:f>
        <x:v>0</x:v>
      </x:c>
      <x:c r="H351" s="13" t="str">
        <x:v>Q22高分=差距大；Q35高分=通道畅通；其余按题意</x:v>
      </x:c>
      <x:c r="I351" s="2" t="str">
        <x:v>数值版 Sheet1!DF2:DO163</x:v>
      </x:c>
    </x:row>
    <x:row r="352" ht="30" customHeight="1">
      <x:c r="A352" s="2" t="str">
        <x:v>Q26</x:v>
      </x:c>
      <x:c r="B352" s="2" t="str">
        <x:v>五级量表</x:v>
      </x:c>
      <x:c r="C352" s="13" t="str">
        <x:v>F4 跨部门沟通与协同管理</x:v>
      </x:c>
      <x:c r="D352" s="2" t="str">
        <x:v>3分</x:v>
      </x:c>
      <x:c r="E352" s="11" t="n">
        <x:v>10</x:v>
      </x:c>
      <x:c r="F352" s="11" t="n">
        <x:v>162</x:v>
      </x:c>
      <x:c r="G352" s="12" t="n">
        <x:f>IF(F352=0,"n.a.",E352/F352)</x:f>
        <x:v>0.06172839506172839</x:v>
      </x:c>
      <x:c r="H352" s="13" t="str">
        <x:v>Q22高分=差距大；Q35高分=通道畅通；其余按题意</x:v>
      </x:c>
      <x:c r="I352" s="2" t="str">
        <x:v>数值版 Sheet1!DF2:DO163</x:v>
      </x:c>
    </x:row>
    <x:row r="353" ht="30" customHeight="1">
      <x:c r="A353" s="2" t="str">
        <x:v>Q26</x:v>
      </x:c>
      <x:c r="B353" s="2" t="str">
        <x:v>五级量表</x:v>
      </x:c>
      <x:c r="C353" s="13" t="str">
        <x:v>F4 跨部门沟通与协同管理</x:v>
      </x:c>
      <x:c r="D353" s="2" t="str">
        <x:v>4分</x:v>
      </x:c>
      <x:c r="E353" s="11" t="n">
        <x:v>42</x:v>
      </x:c>
      <x:c r="F353" s="11" t="n">
        <x:v>162</x:v>
      </x:c>
      <x:c r="G353" s="12" t="n">
        <x:f>IF(F353=0,"n.a.",E353/F353)</x:f>
        <x:v>0.25925925925925924</x:v>
      </x:c>
      <x:c r="H353" s="13" t="str">
        <x:v>Q22高分=差距大；Q35高分=通道畅通；其余按题意</x:v>
      </x:c>
      <x:c r="I353" s="2" t="str">
        <x:v>数值版 Sheet1!DF2:DO163</x:v>
      </x:c>
    </x:row>
    <x:row r="354" ht="30" customHeight="1">
      <x:c r="A354" s="2" t="str">
        <x:v>Q26</x:v>
      </x:c>
      <x:c r="B354" s="2" t="str">
        <x:v>五级量表</x:v>
      </x:c>
      <x:c r="C354" s="13" t="str">
        <x:v>F4 跨部门沟通与协同管理</x:v>
      </x:c>
      <x:c r="D354" s="2" t="str">
        <x:v>5分</x:v>
      </x:c>
      <x:c r="E354" s="11" t="n">
        <x:v>110</x:v>
      </x:c>
      <x:c r="F354" s="11" t="n">
        <x:v>162</x:v>
      </x:c>
      <x:c r="G354" s="12" t="n">
        <x:f>IF(F354=0,"n.a.",E354/F354)</x:f>
        <x:v>0.6790123456790124</x:v>
      </x:c>
      <x:c r="H354" s="13" t="str">
        <x:v>Q22高分=差距大；Q35高分=通道畅通；其余按题意</x:v>
      </x:c>
      <x:c r="I354" s="2" t="str">
        <x:v>数值版 Sheet1!DF2:DO163</x:v>
      </x:c>
    </x:row>
    <x:row r="355" ht="30" customHeight="1">
      <x:c r="A355" s="2" t="str">
        <x:v>Q26</x:v>
      </x:c>
      <x:c r="B355" s="2" t="str">
        <x:v>五级量表</x:v>
      </x:c>
      <x:c r="C355" s="13" t="str">
        <x:v>F5 DRG/DIP与医保精细化管理</x:v>
      </x:c>
      <x:c r="D355" s="2" t="str">
        <x:v>1分</x:v>
      </x:c>
      <x:c r="E355" s="11" t="n">
        <x:v>0</x:v>
      </x:c>
      <x:c r="F355" s="11" t="n">
        <x:v>162</x:v>
      </x:c>
      <x:c r="G355" s="12" t="n">
        <x:f>IF(F355=0,"n.a.",E355/F355)</x:f>
        <x:v>0</x:v>
      </x:c>
      <x:c r="H355" s="13" t="str">
        <x:v>Q22高分=差距大；Q35高分=通道畅通；其余按题意</x:v>
      </x:c>
      <x:c r="I355" s="2" t="str">
        <x:v>数值版 Sheet1!DF2:DO163</x:v>
      </x:c>
    </x:row>
    <x:row r="356" ht="30" customHeight="1">
      <x:c r="A356" s="2" t="str">
        <x:v>Q26</x:v>
      </x:c>
      <x:c r="B356" s="2" t="str">
        <x:v>五级量表</x:v>
      </x:c>
      <x:c r="C356" s="13" t="str">
        <x:v>F5 DRG/DIP与医保精细化管理</x:v>
      </x:c>
      <x:c r="D356" s="2" t="str">
        <x:v>2分</x:v>
      </x:c>
      <x:c r="E356" s="11" t="n">
        <x:v>1</x:v>
      </x:c>
      <x:c r="F356" s="11" t="n">
        <x:v>162</x:v>
      </x:c>
      <x:c r="G356" s="12" t="n">
        <x:f>IF(F356=0,"n.a.",E356/F356)</x:f>
        <x:v>0.006172839506172839</x:v>
      </x:c>
      <x:c r="H356" s="13" t="str">
        <x:v>Q22高分=差距大；Q35高分=通道畅通；其余按题意</x:v>
      </x:c>
      <x:c r="I356" s="2" t="str">
        <x:v>数值版 Sheet1!DF2:DO163</x:v>
      </x:c>
    </x:row>
    <x:row r="357" ht="30" customHeight="1">
      <x:c r="A357" s="2" t="str">
        <x:v>Q26</x:v>
      </x:c>
      <x:c r="B357" s="2" t="str">
        <x:v>五级量表</x:v>
      </x:c>
      <x:c r="C357" s="13" t="str">
        <x:v>F5 DRG/DIP与医保精细化管理</x:v>
      </x:c>
      <x:c r="D357" s="2" t="str">
        <x:v>3分</x:v>
      </x:c>
      <x:c r="E357" s="11" t="n">
        <x:v>12</x:v>
      </x:c>
      <x:c r="F357" s="11" t="n">
        <x:v>162</x:v>
      </x:c>
      <x:c r="G357" s="12" t="n">
        <x:f>IF(F357=0,"n.a.",E357/F357)</x:f>
        <x:v>0.07407407407407407</x:v>
      </x:c>
      <x:c r="H357" s="13" t="str">
        <x:v>Q22高分=差距大；Q35高分=通道畅通；其余按题意</x:v>
      </x:c>
      <x:c r="I357" s="2" t="str">
        <x:v>数值版 Sheet1!DF2:DO163</x:v>
      </x:c>
    </x:row>
    <x:row r="358" ht="30" customHeight="1">
      <x:c r="A358" s="2" t="str">
        <x:v>Q26</x:v>
      </x:c>
      <x:c r="B358" s="2" t="str">
        <x:v>五级量表</x:v>
      </x:c>
      <x:c r="C358" s="13" t="str">
        <x:v>F5 DRG/DIP与医保精细化管理</x:v>
      </x:c>
      <x:c r="D358" s="2" t="str">
        <x:v>4分</x:v>
      </x:c>
      <x:c r="E358" s="11" t="n">
        <x:v>44</x:v>
      </x:c>
      <x:c r="F358" s="11" t="n">
        <x:v>162</x:v>
      </x:c>
      <x:c r="G358" s="12" t="n">
        <x:f>IF(F358=0,"n.a.",E358/F358)</x:f>
        <x:v>0.2716049382716049</x:v>
      </x:c>
      <x:c r="H358" s="13" t="str">
        <x:v>Q22高分=差距大；Q35高分=通道畅通；其余按题意</x:v>
      </x:c>
      <x:c r="I358" s="2" t="str">
        <x:v>数值版 Sheet1!DF2:DO163</x:v>
      </x:c>
    </x:row>
    <x:row r="359" ht="30" customHeight="1">
      <x:c r="A359" s="2" t="str">
        <x:v>Q26</x:v>
      </x:c>
      <x:c r="B359" s="2" t="str">
        <x:v>五级量表</x:v>
      </x:c>
      <x:c r="C359" s="13" t="str">
        <x:v>F5 DRG/DIP与医保精细化管理</x:v>
      </x:c>
      <x:c r="D359" s="2" t="str">
        <x:v>5分</x:v>
      </x:c>
      <x:c r="E359" s="11" t="n">
        <x:v>105</x:v>
      </x:c>
      <x:c r="F359" s="11" t="n">
        <x:v>162</x:v>
      </x:c>
      <x:c r="G359" s="12" t="n">
        <x:f>IF(F359=0,"n.a.",E359/F359)</x:f>
        <x:v>0.6481481481481481</x:v>
      </x:c>
      <x:c r="H359" s="13" t="str">
        <x:v>Q22高分=差距大；Q35高分=通道畅通；其余按题意</x:v>
      </x:c>
      <x:c r="I359" s="2" t="str">
        <x:v>数值版 Sheet1!DF2:DO163</x:v>
      </x:c>
    </x:row>
    <x:row r="360" ht="30" customHeight="1">
      <x:c r="A360" s="2" t="str">
        <x:v>Q26</x:v>
      </x:c>
      <x:c r="B360" s="2" t="str">
        <x:v>五级量表</x:v>
      </x:c>
      <x:c r="C360" s="13" t="str">
        <x:v>F6 预算管理与绩效评价</x:v>
      </x:c>
      <x:c r="D360" s="2" t="str">
        <x:v>1分</x:v>
      </x:c>
      <x:c r="E360" s="11" t="n">
        <x:v>0</x:v>
      </x:c>
      <x:c r="F360" s="11" t="n">
        <x:v>162</x:v>
      </x:c>
      <x:c r="G360" s="12" t="n">
        <x:f>IF(F360=0,"n.a.",E360/F360)</x:f>
        <x:v>0</x:v>
      </x:c>
      <x:c r="H360" s="13" t="str">
        <x:v>Q22高分=差距大；Q35高分=通道畅通；其余按题意</x:v>
      </x:c>
      <x:c r="I360" s="2" t="str">
        <x:v>数值版 Sheet1!DF2:DO163</x:v>
      </x:c>
    </x:row>
    <x:row r="361" ht="30" customHeight="1">
      <x:c r="A361" s="2" t="str">
        <x:v>Q26</x:v>
      </x:c>
      <x:c r="B361" s="2" t="str">
        <x:v>五级量表</x:v>
      </x:c>
      <x:c r="C361" s="13" t="str">
        <x:v>F6 预算管理与绩效评价</x:v>
      </x:c>
      <x:c r="D361" s="2" t="str">
        <x:v>2分</x:v>
      </x:c>
      <x:c r="E361" s="11" t="n">
        <x:v>2</x:v>
      </x:c>
      <x:c r="F361" s="11" t="n">
        <x:v>162</x:v>
      </x:c>
      <x:c r="G361" s="12" t="n">
        <x:f>IF(F361=0,"n.a.",E361/F361)</x:f>
        <x:v>0.012345679012345678</x:v>
      </x:c>
      <x:c r="H361" s="13" t="str">
        <x:v>Q22高分=差距大；Q35高分=通道畅通；其余按题意</x:v>
      </x:c>
      <x:c r="I361" s="2" t="str">
        <x:v>数值版 Sheet1!DF2:DO163</x:v>
      </x:c>
    </x:row>
    <x:row r="362" ht="30" customHeight="1">
      <x:c r="A362" s="2" t="str">
        <x:v>Q26</x:v>
      </x:c>
      <x:c r="B362" s="2" t="str">
        <x:v>五级量表</x:v>
      </x:c>
      <x:c r="C362" s="13" t="str">
        <x:v>F6 预算管理与绩效评价</x:v>
      </x:c>
      <x:c r="D362" s="2" t="str">
        <x:v>3分</x:v>
      </x:c>
      <x:c r="E362" s="11" t="n">
        <x:v>9</x:v>
      </x:c>
      <x:c r="F362" s="11" t="n">
        <x:v>162</x:v>
      </x:c>
      <x:c r="G362" s="12" t="n">
        <x:f>IF(F362=0,"n.a.",E362/F362)</x:f>
        <x:v>0.05555555555555555</x:v>
      </x:c>
      <x:c r="H362" s="13" t="str">
        <x:v>Q22高分=差距大；Q35高分=通道畅通；其余按题意</x:v>
      </x:c>
      <x:c r="I362" s="2" t="str">
        <x:v>数值版 Sheet1!DF2:DO163</x:v>
      </x:c>
    </x:row>
    <x:row r="363" ht="30" customHeight="1">
      <x:c r="A363" s="2" t="str">
        <x:v>Q26</x:v>
      </x:c>
      <x:c r="B363" s="2" t="str">
        <x:v>五级量表</x:v>
      </x:c>
      <x:c r="C363" s="13" t="str">
        <x:v>F6 预算管理与绩效评价</x:v>
      </x:c>
      <x:c r="D363" s="2" t="str">
        <x:v>4分</x:v>
      </x:c>
      <x:c r="E363" s="11" t="n">
        <x:v>44</x:v>
      </x:c>
      <x:c r="F363" s="11" t="n">
        <x:v>162</x:v>
      </x:c>
      <x:c r="G363" s="12" t="n">
        <x:f>IF(F363=0,"n.a.",E363/F363)</x:f>
        <x:v>0.2716049382716049</x:v>
      </x:c>
      <x:c r="H363" s="13" t="str">
        <x:v>Q22高分=差距大；Q35高分=通道畅通；其余按题意</x:v>
      </x:c>
      <x:c r="I363" s="2" t="str">
        <x:v>数值版 Sheet1!DF2:DO163</x:v>
      </x:c>
    </x:row>
    <x:row r="364" ht="30" customHeight="1">
      <x:c r="A364" s="2" t="str">
        <x:v>Q26</x:v>
      </x:c>
      <x:c r="B364" s="2" t="str">
        <x:v>五级量表</x:v>
      </x:c>
      <x:c r="C364" s="13" t="str">
        <x:v>F6 预算管理与绩效评价</x:v>
      </x:c>
      <x:c r="D364" s="2" t="str">
        <x:v>5分</x:v>
      </x:c>
      <x:c r="E364" s="11" t="n">
        <x:v>107</x:v>
      </x:c>
      <x:c r="F364" s="11" t="n">
        <x:v>162</x:v>
      </x:c>
      <x:c r="G364" s="12" t="n">
        <x:f>IF(F364=0,"n.a.",E364/F364)</x:f>
        <x:v>0.6604938271604939</x:v>
      </x:c>
      <x:c r="H364" s="13" t="str">
        <x:v>Q22高分=差距大；Q35高分=通道畅通；其余按题意</x:v>
      </x:c>
      <x:c r="I364" s="2" t="str">
        <x:v>数值版 Sheet1!DF2:DO163</x:v>
      </x:c>
    </x:row>
    <x:row r="365" ht="30" customHeight="1">
      <x:c r="A365" s="2" t="str">
        <x:v>Q26</x:v>
      </x:c>
      <x:c r="B365" s="2" t="str">
        <x:v>五级量表</x:v>
      </x:c>
      <x:c r="C365" s="13" t="str">
        <x:v>F7 成本核算与运营分析</x:v>
      </x:c>
      <x:c r="D365" s="2" t="str">
        <x:v>1分</x:v>
      </x:c>
      <x:c r="E365" s="11" t="n">
        <x:v>0</x:v>
      </x:c>
      <x:c r="F365" s="11" t="n">
        <x:v>162</x:v>
      </x:c>
      <x:c r="G365" s="12" t="n">
        <x:f>IF(F365=0,"n.a.",E365/F365)</x:f>
        <x:v>0</x:v>
      </x:c>
      <x:c r="H365" s="13" t="str">
        <x:v>Q22高分=差距大；Q35高分=通道畅通；其余按题意</x:v>
      </x:c>
      <x:c r="I365" s="2" t="str">
        <x:v>数值版 Sheet1!DF2:DO163</x:v>
      </x:c>
    </x:row>
    <x:row r="366" ht="30" customHeight="1">
      <x:c r="A366" s="2" t="str">
        <x:v>Q26</x:v>
      </x:c>
      <x:c r="B366" s="2" t="str">
        <x:v>五级量表</x:v>
      </x:c>
      <x:c r="C366" s="13" t="str">
        <x:v>F7 成本核算与运营分析</x:v>
      </x:c>
      <x:c r="D366" s="2" t="str">
        <x:v>2分</x:v>
      </x:c>
      <x:c r="E366" s="11" t="n">
        <x:v>1</x:v>
      </x:c>
      <x:c r="F366" s="11" t="n">
        <x:v>162</x:v>
      </x:c>
      <x:c r="G366" s="12" t="n">
        <x:f>IF(F366=0,"n.a.",E366/F366)</x:f>
        <x:v>0.006172839506172839</x:v>
      </x:c>
      <x:c r="H366" s="13" t="str">
        <x:v>Q22高分=差距大；Q35高分=通道畅通；其余按题意</x:v>
      </x:c>
      <x:c r="I366" s="2" t="str">
        <x:v>数值版 Sheet1!DF2:DO163</x:v>
      </x:c>
    </x:row>
    <x:row r="367" ht="30" customHeight="1">
      <x:c r="A367" s="2" t="str">
        <x:v>Q26</x:v>
      </x:c>
      <x:c r="B367" s="2" t="str">
        <x:v>五级量表</x:v>
      </x:c>
      <x:c r="C367" s="13" t="str">
        <x:v>F7 成本核算与运营分析</x:v>
      </x:c>
      <x:c r="D367" s="2" t="str">
        <x:v>3分</x:v>
      </x:c>
      <x:c r="E367" s="11" t="n">
        <x:v>5</x:v>
      </x:c>
      <x:c r="F367" s="11" t="n">
        <x:v>162</x:v>
      </x:c>
      <x:c r="G367" s="12" t="n">
        <x:f>IF(F367=0,"n.a.",E367/F367)</x:f>
        <x:v>0.030864197530864196</x:v>
      </x:c>
      <x:c r="H367" s="13" t="str">
        <x:v>Q22高分=差距大；Q35高分=通道畅通；其余按题意</x:v>
      </x:c>
      <x:c r="I367" s="2" t="str">
        <x:v>数值版 Sheet1!DF2:DO163</x:v>
      </x:c>
    </x:row>
    <x:row r="368" ht="30" customHeight="1">
      <x:c r="A368" s="2" t="str">
        <x:v>Q26</x:v>
      </x:c>
      <x:c r="B368" s="2" t="str">
        <x:v>五级量表</x:v>
      </x:c>
      <x:c r="C368" s="13" t="str">
        <x:v>F7 成本核算与运营分析</x:v>
      </x:c>
      <x:c r="D368" s="2" t="str">
        <x:v>4分</x:v>
      </x:c>
      <x:c r="E368" s="11" t="n">
        <x:v>45</x:v>
      </x:c>
      <x:c r="F368" s="11" t="n">
        <x:v>162</x:v>
      </x:c>
      <x:c r="G368" s="12" t="n">
        <x:f>IF(F368=0,"n.a.",E368/F368)</x:f>
        <x:v>0.2777777777777778</x:v>
      </x:c>
      <x:c r="H368" s="13" t="str">
        <x:v>Q22高分=差距大；Q35高分=通道畅通；其余按题意</x:v>
      </x:c>
      <x:c r="I368" s="2" t="str">
        <x:v>数值版 Sheet1!DF2:DO163</x:v>
      </x:c>
    </x:row>
    <x:row r="369" ht="30" customHeight="1">
      <x:c r="A369" s="2" t="str">
        <x:v>Q26</x:v>
      </x:c>
      <x:c r="B369" s="2" t="str">
        <x:v>五级量表</x:v>
      </x:c>
      <x:c r="C369" s="13" t="str">
        <x:v>F7 成本核算与运营分析</x:v>
      </x:c>
      <x:c r="D369" s="2" t="str">
        <x:v>5分</x:v>
      </x:c>
      <x:c r="E369" s="11" t="n">
        <x:v>111</x:v>
      </x:c>
      <x:c r="F369" s="11" t="n">
        <x:v>162</x:v>
      </x:c>
      <x:c r="G369" s="12" t="n">
        <x:f>IF(F369=0,"n.a.",E369/F369)</x:f>
        <x:v>0.6851851851851852</x:v>
      </x:c>
      <x:c r="H369" s="13" t="str">
        <x:v>Q22高分=差距大；Q35高分=通道畅通；其余按题意</x:v>
      </x:c>
      <x:c r="I369" s="2" t="str">
        <x:v>数值版 Sheet1!DF2:DO163</x:v>
      </x:c>
    </x:row>
    <x:row r="370" ht="30" customHeight="1">
      <x:c r="A370" s="2" t="str">
        <x:v>Q26</x:v>
      </x:c>
      <x:c r="B370" s="2" t="str">
        <x:v>五级量表</x:v>
      </x:c>
      <x:c r="C370" s="13" t="str">
        <x:v>F8 数智化运营与数据分析</x:v>
      </x:c>
      <x:c r="D370" s="2" t="str">
        <x:v>1分</x:v>
      </x:c>
      <x:c r="E370" s="11" t="n">
        <x:v>0</x:v>
      </x:c>
      <x:c r="F370" s="11" t="n">
        <x:v>162</x:v>
      </x:c>
      <x:c r="G370" s="12" t="n">
        <x:f>IF(F370=0,"n.a.",E370/F370)</x:f>
        <x:v>0</x:v>
      </x:c>
      <x:c r="H370" s="13" t="str">
        <x:v>Q22高分=差距大；Q35高分=通道畅通；其余按题意</x:v>
      </x:c>
      <x:c r="I370" s="2" t="str">
        <x:v>数值版 Sheet1!DF2:DO163</x:v>
      </x:c>
    </x:row>
    <x:row r="371" ht="30" customHeight="1">
      <x:c r="A371" s="2" t="str">
        <x:v>Q26</x:v>
      </x:c>
      <x:c r="B371" s="2" t="str">
        <x:v>五级量表</x:v>
      </x:c>
      <x:c r="C371" s="13" t="str">
        <x:v>F8 数智化运营与数据分析</x:v>
      </x:c>
      <x:c r="D371" s="2" t="str">
        <x:v>2分</x:v>
      </x:c>
      <x:c r="E371" s="11" t="n">
        <x:v>0</x:v>
      </x:c>
      <x:c r="F371" s="11" t="n">
        <x:v>162</x:v>
      </x:c>
      <x:c r="G371" s="12" t="n">
        <x:f>IF(F371=0,"n.a.",E371/F371)</x:f>
        <x:v>0</x:v>
      </x:c>
      <x:c r="H371" s="13" t="str">
        <x:v>Q22高分=差距大；Q35高分=通道畅通；其余按题意</x:v>
      </x:c>
      <x:c r="I371" s="2" t="str">
        <x:v>数值版 Sheet1!DF2:DO163</x:v>
      </x:c>
    </x:row>
    <x:row r="372" ht="30" customHeight="1">
      <x:c r="A372" s="2" t="str">
        <x:v>Q26</x:v>
      </x:c>
      <x:c r="B372" s="2" t="str">
        <x:v>五级量表</x:v>
      </x:c>
      <x:c r="C372" s="13" t="str">
        <x:v>F8 数智化运营与数据分析</x:v>
      </x:c>
      <x:c r="D372" s="2" t="str">
        <x:v>3分</x:v>
      </x:c>
      <x:c r="E372" s="11" t="n">
        <x:v>6</x:v>
      </x:c>
      <x:c r="F372" s="11" t="n">
        <x:v>162</x:v>
      </x:c>
      <x:c r="G372" s="12" t="n">
        <x:f>IF(F372=0,"n.a.",E372/F372)</x:f>
        <x:v>0.037037037037037035</x:v>
      </x:c>
      <x:c r="H372" s="13" t="str">
        <x:v>Q22高分=差距大；Q35高分=通道畅通；其余按题意</x:v>
      </x:c>
      <x:c r="I372" s="2" t="str">
        <x:v>数值版 Sheet1!DF2:DO163</x:v>
      </x:c>
    </x:row>
    <x:row r="373" ht="30" customHeight="1">
      <x:c r="A373" s="2" t="str">
        <x:v>Q26</x:v>
      </x:c>
      <x:c r="B373" s="2" t="str">
        <x:v>五级量表</x:v>
      </x:c>
      <x:c r="C373" s="13" t="str">
        <x:v>F8 数智化运营与数据分析</x:v>
      </x:c>
      <x:c r="D373" s="2" t="str">
        <x:v>4分</x:v>
      </x:c>
      <x:c r="E373" s="11" t="n">
        <x:v>37</x:v>
      </x:c>
      <x:c r="F373" s="11" t="n">
        <x:v>162</x:v>
      </x:c>
      <x:c r="G373" s="12" t="n">
        <x:f>IF(F373=0,"n.a.",E373/F373)</x:f>
        <x:v>0.22839506172839505</x:v>
      </x:c>
      <x:c r="H373" s="13" t="str">
        <x:v>Q22高分=差距大；Q35高分=通道畅通；其余按题意</x:v>
      </x:c>
      <x:c r="I373" s="2" t="str">
        <x:v>数值版 Sheet1!DF2:DO163</x:v>
      </x:c>
    </x:row>
    <x:row r="374" ht="30" customHeight="1">
      <x:c r="A374" s="2" t="str">
        <x:v>Q26</x:v>
      </x:c>
      <x:c r="B374" s="2" t="str">
        <x:v>五级量表</x:v>
      </x:c>
      <x:c r="C374" s="13" t="str">
        <x:v>F8 数智化运营与数据分析</x:v>
      </x:c>
      <x:c r="D374" s="2" t="str">
        <x:v>5分</x:v>
      </x:c>
      <x:c r="E374" s="11" t="n">
        <x:v>119</x:v>
      </x:c>
      <x:c r="F374" s="11" t="n">
        <x:v>162</x:v>
      </x:c>
      <x:c r="G374" s="12" t="n">
        <x:f>IF(F374=0,"n.a.",E374/F374)</x:f>
        <x:v>0.7345679012345679</x:v>
      </x:c>
      <x:c r="H374" s="13" t="str">
        <x:v>Q22高分=差距大；Q35高分=通道畅通；其余按题意</x:v>
      </x:c>
      <x:c r="I374" s="2" t="str">
        <x:v>数值版 Sheet1!DF2:DO163</x:v>
      </x:c>
    </x:row>
    <x:row r="375" ht="30" customHeight="1">
      <x:c r="A375" s="2" t="str">
        <x:v>Q26</x:v>
      </x:c>
      <x:c r="B375" s="2" t="str">
        <x:v>五级量表</x:v>
      </x:c>
      <x:c r="C375" s="13" t="str">
        <x:v>F9 内部控制、审计与风险防控</x:v>
      </x:c>
      <x:c r="D375" s="2" t="str">
        <x:v>1分</x:v>
      </x:c>
      <x:c r="E375" s="11" t="n">
        <x:v>0</x:v>
      </x:c>
      <x:c r="F375" s="11" t="n">
        <x:v>162</x:v>
      </x:c>
      <x:c r="G375" s="12" t="n">
        <x:f>IF(F375=0,"n.a.",E375/F375)</x:f>
        <x:v>0</x:v>
      </x:c>
      <x:c r="H375" s="13" t="str">
        <x:v>Q22高分=差距大；Q35高分=通道畅通；其余按题意</x:v>
      </x:c>
      <x:c r="I375" s="2" t="str">
        <x:v>数值版 Sheet1!DF2:DO163</x:v>
      </x:c>
    </x:row>
    <x:row r="376" ht="30" customHeight="1">
      <x:c r="A376" s="2" t="str">
        <x:v>Q26</x:v>
      </x:c>
      <x:c r="B376" s="2" t="str">
        <x:v>五级量表</x:v>
      </x:c>
      <x:c r="C376" s="13" t="str">
        <x:v>F9 内部控制、审计与风险防控</x:v>
      </x:c>
      <x:c r="D376" s="2" t="str">
        <x:v>2分</x:v>
      </x:c>
      <x:c r="E376" s="11" t="n">
        <x:v>1</x:v>
      </x:c>
      <x:c r="F376" s="11" t="n">
        <x:v>162</x:v>
      </x:c>
      <x:c r="G376" s="12" t="n">
        <x:f>IF(F376=0,"n.a.",E376/F376)</x:f>
        <x:v>0.006172839506172839</x:v>
      </x:c>
      <x:c r="H376" s="13" t="str">
        <x:v>Q22高分=差距大；Q35高分=通道畅通；其余按题意</x:v>
      </x:c>
      <x:c r="I376" s="2" t="str">
        <x:v>数值版 Sheet1!DF2:DO163</x:v>
      </x:c>
    </x:row>
    <x:row r="377" ht="30" customHeight="1">
      <x:c r="A377" s="2" t="str">
        <x:v>Q26</x:v>
      </x:c>
      <x:c r="B377" s="2" t="str">
        <x:v>五级量表</x:v>
      </x:c>
      <x:c r="C377" s="13" t="str">
        <x:v>F9 内部控制、审计与风险防控</x:v>
      </x:c>
      <x:c r="D377" s="2" t="str">
        <x:v>3分</x:v>
      </x:c>
      <x:c r="E377" s="11" t="n">
        <x:v>17</x:v>
      </x:c>
      <x:c r="F377" s="11" t="n">
        <x:v>162</x:v>
      </x:c>
      <x:c r="G377" s="12" t="n">
        <x:f>IF(F377=0,"n.a.",E377/F377)</x:f>
        <x:v>0.10493827160493827</x:v>
      </x:c>
      <x:c r="H377" s="13" t="str">
        <x:v>Q22高分=差距大；Q35高分=通道畅通；其余按题意</x:v>
      </x:c>
      <x:c r="I377" s="2" t="str">
        <x:v>数值版 Sheet1!DF2:DO163</x:v>
      </x:c>
    </x:row>
    <x:row r="378" ht="30" customHeight="1">
      <x:c r="A378" s="2" t="str">
        <x:v>Q26</x:v>
      </x:c>
      <x:c r="B378" s="2" t="str">
        <x:v>五级量表</x:v>
      </x:c>
      <x:c r="C378" s="13" t="str">
        <x:v>F9 内部控制、审计与风险防控</x:v>
      </x:c>
      <x:c r="D378" s="2" t="str">
        <x:v>4分</x:v>
      </x:c>
      <x:c r="E378" s="11" t="n">
        <x:v>38</x:v>
      </x:c>
      <x:c r="F378" s="11" t="n">
        <x:v>162</x:v>
      </x:c>
      <x:c r="G378" s="12" t="n">
        <x:f>IF(F378=0,"n.a.",E378/F378)</x:f>
        <x:v>0.2345679012345679</x:v>
      </x:c>
      <x:c r="H378" s="13" t="str">
        <x:v>Q22高分=差距大；Q35高分=通道畅通；其余按题意</x:v>
      </x:c>
      <x:c r="I378" s="2" t="str">
        <x:v>数值版 Sheet1!DF2:DO163</x:v>
      </x:c>
    </x:row>
    <x:row r="379" ht="30" customHeight="1">
      <x:c r="A379" s="2" t="str">
        <x:v>Q26</x:v>
      </x:c>
      <x:c r="B379" s="2" t="str">
        <x:v>五级量表</x:v>
      </x:c>
      <x:c r="C379" s="13" t="str">
        <x:v>F9 内部控制、审计与风险防控</x:v>
      </x:c>
      <x:c r="D379" s="2" t="str">
        <x:v>5分</x:v>
      </x:c>
      <x:c r="E379" s="11" t="n">
        <x:v>106</x:v>
      </x:c>
      <x:c r="F379" s="11" t="n">
        <x:v>162</x:v>
      </x:c>
      <x:c r="G379" s="12" t="n">
        <x:f>IF(F379=0,"n.a.",E379/F379)</x:f>
        <x:v>0.654320987654321</x:v>
      </x:c>
      <x:c r="H379" s="13" t="str">
        <x:v>Q22高分=差距大；Q35高分=通道畅通；其余按题意</x:v>
      </x:c>
      <x:c r="I379" s="2" t="str">
        <x:v>数值版 Sheet1!DF2:DO163</x:v>
      </x:c>
    </x:row>
    <x:row r="380" ht="30" customHeight="1">
      <x:c r="A380" s="2" t="str">
        <x:v>Q26</x:v>
      </x:c>
      <x:c r="B380" s="2" t="str">
        <x:v>五级量表</x:v>
      </x:c>
      <x:c r="C380" s="13" t="str">
        <x:v>F10 科教管理与成果转化</x:v>
      </x:c>
      <x:c r="D380" s="2" t="str">
        <x:v>1分</x:v>
      </x:c>
      <x:c r="E380" s="11" t="n">
        <x:v>1</x:v>
      </x:c>
      <x:c r="F380" s="11" t="n">
        <x:v>162</x:v>
      </x:c>
      <x:c r="G380" s="12" t="n">
        <x:f>IF(F380=0,"n.a.",E380/F380)</x:f>
        <x:v>0.006172839506172839</x:v>
      </x:c>
      <x:c r="H380" s="13" t="str">
        <x:v>Q22高分=差距大；Q35高分=通道畅通；其余按题意</x:v>
      </x:c>
      <x:c r="I380" s="2" t="str">
        <x:v>数值版 Sheet1!DF2:DO163</x:v>
      </x:c>
    </x:row>
    <x:row r="381" ht="30" customHeight="1">
      <x:c r="A381" s="2" t="str">
        <x:v>Q26</x:v>
      </x:c>
      <x:c r="B381" s="2" t="str">
        <x:v>五级量表</x:v>
      </x:c>
      <x:c r="C381" s="13" t="str">
        <x:v>F10 科教管理与成果转化</x:v>
      </x:c>
      <x:c r="D381" s="2" t="str">
        <x:v>2分</x:v>
      </x:c>
      <x:c r="E381" s="11" t="n">
        <x:v>10</x:v>
      </x:c>
      <x:c r="F381" s="11" t="n">
        <x:v>162</x:v>
      </x:c>
      <x:c r="G381" s="12" t="n">
        <x:f>IF(F381=0,"n.a.",E381/F381)</x:f>
        <x:v>0.06172839506172839</x:v>
      </x:c>
      <x:c r="H381" s="13" t="str">
        <x:v>Q22高分=差距大；Q35高分=通道畅通；其余按题意</x:v>
      </x:c>
      <x:c r="I381" s="2" t="str">
        <x:v>数值版 Sheet1!DF2:DO163</x:v>
      </x:c>
    </x:row>
    <x:row r="382" ht="30" customHeight="1">
      <x:c r="A382" s="2" t="str">
        <x:v>Q26</x:v>
      </x:c>
      <x:c r="B382" s="2" t="str">
        <x:v>五级量表</x:v>
      </x:c>
      <x:c r="C382" s="13" t="str">
        <x:v>F10 科教管理与成果转化</x:v>
      </x:c>
      <x:c r="D382" s="2" t="str">
        <x:v>3分</x:v>
      </x:c>
      <x:c r="E382" s="11" t="n">
        <x:v>37</x:v>
      </x:c>
      <x:c r="F382" s="11" t="n">
        <x:v>162</x:v>
      </x:c>
      <x:c r="G382" s="12" t="n">
        <x:f>IF(F382=0,"n.a.",E382/F382)</x:f>
        <x:v>0.22839506172839505</x:v>
      </x:c>
      <x:c r="H382" s="13" t="str">
        <x:v>Q22高分=差距大；Q35高分=通道畅通；其余按题意</x:v>
      </x:c>
      <x:c r="I382" s="2" t="str">
        <x:v>数值版 Sheet1!DF2:DO163</x:v>
      </x:c>
    </x:row>
    <x:row r="383" ht="30" customHeight="1">
      <x:c r="A383" s="2" t="str">
        <x:v>Q26</x:v>
      </x:c>
      <x:c r="B383" s="2" t="str">
        <x:v>五级量表</x:v>
      </x:c>
      <x:c r="C383" s="13" t="str">
        <x:v>F10 科教管理与成果转化</x:v>
      </x:c>
      <x:c r="D383" s="2" t="str">
        <x:v>4分</x:v>
      </x:c>
      <x:c r="E383" s="11" t="n">
        <x:v>54</x:v>
      </x:c>
      <x:c r="F383" s="11" t="n">
        <x:v>162</x:v>
      </x:c>
      <x:c r="G383" s="12" t="n">
        <x:f>IF(F383=0,"n.a.",E383/F383)</x:f>
        <x:v>0.3333333333333333</x:v>
      </x:c>
      <x:c r="H383" s="13" t="str">
        <x:v>Q22高分=差距大；Q35高分=通道畅通；其余按题意</x:v>
      </x:c>
      <x:c r="I383" s="2" t="str">
        <x:v>数值版 Sheet1!DF2:DO163</x:v>
      </x:c>
    </x:row>
    <x:row r="384" ht="30" customHeight="1">
      <x:c r="A384" s="2" t="str">
        <x:v>Q26</x:v>
      </x:c>
      <x:c r="B384" s="2" t="str">
        <x:v>五级量表</x:v>
      </x:c>
      <x:c r="C384" s="13" t="str">
        <x:v>F10 科教管理与成果转化</x:v>
      </x:c>
      <x:c r="D384" s="2" t="str">
        <x:v>5分</x:v>
      </x:c>
      <x:c r="E384" s="11" t="n">
        <x:v>60</x:v>
      </x:c>
      <x:c r="F384" s="11" t="n">
        <x:v>162</x:v>
      </x:c>
      <x:c r="G384" s="12" t="n">
        <x:f>IF(F384=0,"n.a.",E384/F384)</x:f>
        <x:v>0.37037037037037035</x:v>
      </x:c>
      <x:c r="H384" s="13" t="str">
        <x:v>Q22高分=差距大；Q35高分=通道畅通；其余按题意</x:v>
      </x:c>
      <x:c r="I384" s="2" t="str">
        <x:v>数值版 Sheet1!DF2:DO163</x:v>
      </x:c>
    </x:row>
    <x:row r="385" ht="30" customHeight="1">
      <x:c r="A385" s="2" t="str">
        <x:v>Q27</x:v>
      </x:c>
      <x:c r="B385" s="2" t="str">
        <x:v>五级量表</x:v>
      </x:c>
      <x:c r="C385" s="13" t="str">
        <x:v>G1 案例库与教学案例开发</x:v>
      </x:c>
      <x:c r="D385" s="2" t="str">
        <x:v>1分</x:v>
      </x:c>
      <x:c r="E385" s="11" t="n">
        <x:v>1</x:v>
      </x:c>
      <x:c r="F385" s="11" t="n">
        <x:v>162</x:v>
      </x:c>
      <x:c r="G385" s="12" t="n">
        <x:f>IF(F385=0,"n.a.",E385/F385)</x:f>
        <x:v>0.006172839506172839</x:v>
      </x:c>
      <x:c r="H385" s="13" t="str">
        <x:v>Q22高分=差距大；Q35高分=通道畅通；其余按题意</x:v>
      </x:c>
      <x:c r="I385" s="2" t="str">
        <x:v>数值版 Sheet1!DP2:DT163</x:v>
      </x:c>
    </x:row>
    <x:row r="386" ht="30" customHeight="1">
      <x:c r="A386" s="2" t="str">
        <x:v>Q27</x:v>
      </x:c>
      <x:c r="B386" s="2" t="str">
        <x:v>五级量表</x:v>
      </x:c>
      <x:c r="C386" s="13" t="str">
        <x:v>G1 案例库与教学案例开发</x:v>
      </x:c>
      <x:c r="D386" s="2" t="str">
        <x:v>2分</x:v>
      </x:c>
      <x:c r="E386" s="11" t="n">
        <x:v>3</x:v>
      </x:c>
      <x:c r="F386" s="11" t="n">
        <x:v>162</x:v>
      </x:c>
      <x:c r="G386" s="12" t="n">
        <x:f>IF(F386=0,"n.a.",E386/F386)</x:f>
        <x:v>0.018518518518518517</x:v>
      </x:c>
      <x:c r="H386" s="13" t="str">
        <x:v>Q22高分=差距大；Q35高分=通道畅通；其余按题意</x:v>
      </x:c>
      <x:c r="I386" s="2" t="str">
        <x:v>数值版 Sheet1!DP2:DT163</x:v>
      </x:c>
    </x:row>
    <x:row r="387" ht="30" customHeight="1">
      <x:c r="A387" s="2" t="str">
        <x:v>Q27</x:v>
      </x:c>
      <x:c r="B387" s="2" t="str">
        <x:v>五级量表</x:v>
      </x:c>
      <x:c r="C387" s="13" t="str">
        <x:v>G1 案例库与教学案例开发</x:v>
      </x:c>
      <x:c r="D387" s="2" t="str">
        <x:v>3分</x:v>
      </x:c>
      <x:c r="E387" s="11" t="n">
        <x:v>18</x:v>
      </x:c>
      <x:c r="F387" s="11" t="n">
        <x:v>162</x:v>
      </x:c>
      <x:c r="G387" s="12" t="n">
        <x:f>IF(F387=0,"n.a.",E387/F387)</x:f>
        <x:v>0.1111111111111111</x:v>
      </x:c>
      <x:c r="H387" s="13" t="str">
        <x:v>Q22高分=差距大；Q35高分=通道畅通；其余按题意</x:v>
      </x:c>
      <x:c r="I387" s="2" t="str">
        <x:v>数值版 Sheet1!DP2:DT163</x:v>
      </x:c>
    </x:row>
    <x:row r="388" ht="30" customHeight="1">
      <x:c r="A388" s="2" t="str">
        <x:v>Q27</x:v>
      </x:c>
      <x:c r="B388" s="2" t="str">
        <x:v>五级量表</x:v>
      </x:c>
      <x:c r="C388" s="13" t="str">
        <x:v>G1 案例库与教学案例开发</x:v>
      </x:c>
      <x:c r="D388" s="2" t="str">
        <x:v>4分</x:v>
      </x:c>
      <x:c r="E388" s="11" t="n">
        <x:v>53</x:v>
      </x:c>
      <x:c r="F388" s="11" t="n">
        <x:v>162</x:v>
      </x:c>
      <x:c r="G388" s="12" t="n">
        <x:f>IF(F388=0,"n.a.",E388/F388)</x:f>
        <x:v>0.3271604938271605</x:v>
      </x:c>
      <x:c r="H388" s="13" t="str">
        <x:v>Q22高分=差距大；Q35高分=通道畅通；其余按题意</x:v>
      </x:c>
      <x:c r="I388" s="2" t="str">
        <x:v>数值版 Sheet1!DP2:DT163</x:v>
      </x:c>
    </x:row>
    <x:row r="389" ht="30" customHeight="1">
      <x:c r="A389" s="2" t="str">
        <x:v>Q27</x:v>
      </x:c>
      <x:c r="B389" s="2" t="str">
        <x:v>五级量表</x:v>
      </x:c>
      <x:c r="C389" s="13" t="str">
        <x:v>G1 案例库与教学案例开发</x:v>
      </x:c>
      <x:c r="D389" s="2" t="str">
        <x:v>5分</x:v>
      </x:c>
      <x:c r="E389" s="11" t="n">
        <x:v>87</x:v>
      </x:c>
      <x:c r="F389" s="11" t="n">
        <x:v>162</x:v>
      </x:c>
      <x:c r="G389" s="12" t="n">
        <x:f>IF(F389=0,"n.a.",E389/F389)</x:f>
        <x:v>0.5370370370370371</x:v>
      </x:c>
      <x:c r="H389" s="13" t="str">
        <x:v>Q22高分=差距大；Q35高分=通道畅通；其余按题意</x:v>
      </x:c>
      <x:c r="I389" s="2" t="str">
        <x:v>数值版 Sheet1!DP2:DT163</x:v>
      </x:c>
    </x:row>
    <x:row r="390" ht="30" customHeight="1">
      <x:c r="A390" s="2" t="str">
        <x:v>Q27</x:v>
      </x:c>
      <x:c r="B390" s="2" t="str">
        <x:v>五级量表</x:v>
      </x:c>
      <x:c r="C390" s="13" t="str">
        <x:v>G2 实训基地（实训医院）</x:v>
      </x:c>
      <x:c r="D390" s="2" t="str">
        <x:v>1分</x:v>
      </x:c>
      <x:c r="E390" s="11" t="n">
        <x:v>0</x:v>
      </x:c>
      <x:c r="F390" s="11" t="n">
        <x:v>162</x:v>
      </x:c>
      <x:c r="G390" s="12" t="n">
        <x:f>IF(F390=0,"n.a.",E390/F390)</x:f>
        <x:v>0</x:v>
      </x:c>
      <x:c r="H390" s="13" t="str">
        <x:v>Q22高分=差距大；Q35高分=通道畅通；其余按题意</x:v>
      </x:c>
      <x:c r="I390" s="2" t="str">
        <x:v>数值版 Sheet1!DP2:DT163</x:v>
      </x:c>
    </x:row>
    <x:row r="391" ht="30" customHeight="1">
      <x:c r="A391" s="2" t="str">
        <x:v>Q27</x:v>
      </x:c>
      <x:c r="B391" s="2" t="str">
        <x:v>五级量表</x:v>
      </x:c>
      <x:c r="C391" s="13" t="str">
        <x:v>G2 实训基地（实训医院）</x:v>
      </x:c>
      <x:c r="D391" s="2" t="str">
        <x:v>2分</x:v>
      </x:c>
      <x:c r="E391" s="11" t="n">
        <x:v>1</x:v>
      </x:c>
      <x:c r="F391" s="11" t="n">
        <x:v>162</x:v>
      </x:c>
      <x:c r="G391" s="12" t="n">
        <x:f>IF(F391=0,"n.a.",E391/F391)</x:f>
        <x:v>0.006172839506172839</x:v>
      </x:c>
      <x:c r="H391" s="13" t="str">
        <x:v>Q22高分=差距大；Q35高分=通道畅通；其余按题意</x:v>
      </x:c>
      <x:c r="I391" s="2" t="str">
        <x:v>数值版 Sheet1!DP2:DT163</x:v>
      </x:c>
    </x:row>
    <x:row r="392" ht="30" customHeight="1">
      <x:c r="A392" s="2" t="str">
        <x:v>Q27</x:v>
      </x:c>
      <x:c r="B392" s="2" t="str">
        <x:v>五级量表</x:v>
      </x:c>
      <x:c r="C392" s="13" t="str">
        <x:v>G2 实训基地（实训医院）</x:v>
      </x:c>
      <x:c r="D392" s="2" t="str">
        <x:v>3分</x:v>
      </x:c>
      <x:c r="E392" s="11" t="n">
        <x:v>14</x:v>
      </x:c>
      <x:c r="F392" s="11" t="n">
        <x:v>162</x:v>
      </x:c>
      <x:c r="G392" s="12" t="n">
        <x:f>IF(F392=0,"n.a.",E392/F392)</x:f>
        <x:v>0.08641975308641975</x:v>
      </x:c>
      <x:c r="H392" s="13" t="str">
        <x:v>Q22高分=差距大；Q35高分=通道畅通；其余按题意</x:v>
      </x:c>
      <x:c r="I392" s="2" t="str">
        <x:v>数值版 Sheet1!DP2:DT163</x:v>
      </x:c>
    </x:row>
    <x:row r="393" ht="30" customHeight="1">
      <x:c r="A393" s="2" t="str">
        <x:v>Q27</x:v>
      </x:c>
      <x:c r="B393" s="2" t="str">
        <x:v>五级量表</x:v>
      </x:c>
      <x:c r="C393" s="13" t="str">
        <x:v>G2 实训基地（实训医院）</x:v>
      </x:c>
      <x:c r="D393" s="2" t="str">
        <x:v>4分</x:v>
      </x:c>
      <x:c r="E393" s="11" t="n">
        <x:v>47</x:v>
      </x:c>
      <x:c r="F393" s="11" t="n">
        <x:v>162</x:v>
      </x:c>
      <x:c r="G393" s="12" t="n">
        <x:f>IF(F393=0,"n.a.",E393/F393)</x:f>
        <x:v>0.29012345679012347</x:v>
      </x:c>
      <x:c r="H393" s="13" t="str">
        <x:v>Q22高分=差距大；Q35高分=通道畅通；其余按题意</x:v>
      </x:c>
      <x:c r="I393" s="2" t="str">
        <x:v>数值版 Sheet1!DP2:DT163</x:v>
      </x:c>
    </x:row>
    <x:row r="394" ht="30" customHeight="1">
      <x:c r="A394" s="2" t="str">
        <x:v>Q27</x:v>
      </x:c>
      <x:c r="B394" s="2" t="str">
        <x:v>五级量表</x:v>
      </x:c>
      <x:c r="C394" s="13" t="str">
        <x:v>G2 实训基地（实训医院）</x:v>
      </x:c>
      <x:c r="D394" s="2" t="str">
        <x:v>5分</x:v>
      </x:c>
      <x:c r="E394" s="11" t="n">
        <x:v>100</x:v>
      </x:c>
      <x:c r="F394" s="11" t="n">
        <x:v>162</x:v>
      </x:c>
      <x:c r="G394" s="12" t="n">
        <x:f>IF(F394=0,"n.a.",E394/F394)</x:f>
        <x:v>0.6172839506172839</x:v>
      </x:c>
      <x:c r="H394" s="13" t="str">
        <x:v>Q22高分=差距大；Q35高分=通道畅通；其余按题意</x:v>
      </x:c>
      <x:c r="I394" s="2" t="str">
        <x:v>数值版 Sheet1!DP2:DT163</x:v>
      </x:c>
    </x:row>
    <x:row r="395" ht="30" customHeight="1">
      <x:c r="A395" s="2" t="str">
        <x:v>Q27</x:v>
      </x:c>
      <x:c r="B395" s="2" t="str">
        <x:v>五级量表</x:v>
      </x:c>
      <x:c r="C395" s="13" t="str">
        <x:v>G3 线上学习平台与移动微课堂</x:v>
      </x:c>
      <x:c r="D395" s="2" t="str">
        <x:v>1分</x:v>
      </x:c>
      <x:c r="E395" s="11" t="n">
        <x:v>3</x:v>
      </x:c>
      <x:c r="F395" s="11" t="n">
        <x:v>162</x:v>
      </x:c>
      <x:c r="G395" s="12" t="n">
        <x:f>IF(F395=0,"n.a.",E395/F395)</x:f>
        <x:v>0.018518518518518517</x:v>
      </x:c>
      <x:c r="H395" s="13" t="str">
        <x:v>Q22高分=差距大；Q35高分=通道畅通；其余按题意</x:v>
      </x:c>
      <x:c r="I395" s="2" t="str">
        <x:v>数值版 Sheet1!DP2:DT163</x:v>
      </x:c>
    </x:row>
    <x:row r="396" ht="30" customHeight="1">
      <x:c r="A396" s="2" t="str">
        <x:v>Q27</x:v>
      </x:c>
      <x:c r="B396" s="2" t="str">
        <x:v>五级量表</x:v>
      </x:c>
      <x:c r="C396" s="13" t="str">
        <x:v>G3 线上学习平台与移动微课堂</x:v>
      </x:c>
      <x:c r="D396" s="2" t="str">
        <x:v>2分</x:v>
      </x:c>
      <x:c r="E396" s="11" t="n">
        <x:v>13</x:v>
      </x:c>
      <x:c r="F396" s="11" t="n">
        <x:v>162</x:v>
      </x:c>
      <x:c r="G396" s="12" t="n">
        <x:f>IF(F396=0,"n.a.",E396/F396)</x:f>
        <x:v>0.08024691358024691</x:v>
      </x:c>
      <x:c r="H396" s="13" t="str">
        <x:v>Q22高分=差距大；Q35高分=通道畅通；其余按题意</x:v>
      </x:c>
      <x:c r="I396" s="2" t="str">
        <x:v>数值版 Sheet1!DP2:DT163</x:v>
      </x:c>
    </x:row>
    <x:row r="397" ht="30" customHeight="1">
      <x:c r="A397" s="2" t="str">
        <x:v>Q27</x:v>
      </x:c>
      <x:c r="B397" s="2" t="str">
        <x:v>五级量表</x:v>
      </x:c>
      <x:c r="C397" s="13" t="str">
        <x:v>G3 线上学习平台与移动微课堂</x:v>
      </x:c>
      <x:c r="D397" s="2" t="str">
        <x:v>3分</x:v>
      </x:c>
      <x:c r="E397" s="11" t="n">
        <x:v>44</x:v>
      </x:c>
      <x:c r="F397" s="11" t="n">
        <x:v>162</x:v>
      </x:c>
      <x:c r="G397" s="12" t="n">
        <x:f>IF(F397=0,"n.a.",E397/F397)</x:f>
        <x:v>0.2716049382716049</x:v>
      </x:c>
      <x:c r="H397" s="13" t="str">
        <x:v>Q22高分=差距大；Q35高分=通道畅通；其余按题意</x:v>
      </x:c>
      <x:c r="I397" s="2" t="str">
        <x:v>数值版 Sheet1!DP2:DT163</x:v>
      </x:c>
    </x:row>
    <x:row r="398" ht="30" customHeight="1">
      <x:c r="A398" s="2" t="str">
        <x:v>Q27</x:v>
      </x:c>
      <x:c r="B398" s="2" t="str">
        <x:v>五级量表</x:v>
      </x:c>
      <x:c r="C398" s="13" t="str">
        <x:v>G3 线上学习平台与移动微课堂</x:v>
      </x:c>
      <x:c r="D398" s="2" t="str">
        <x:v>4分</x:v>
      </x:c>
      <x:c r="E398" s="11" t="n">
        <x:v>55</x:v>
      </x:c>
      <x:c r="F398" s="11" t="n">
        <x:v>162</x:v>
      </x:c>
      <x:c r="G398" s="12" t="n">
        <x:f>IF(F398=0,"n.a.",E398/F398)</x:f>
        <x:v>0.3395061728395062</x:v>
      </x:c>
      <x:c r="H398" s="13" t="str">
        <x:v>Q22高分=差距大；Q35高分=通道畅通；其余按题意</x:v>
      </x:c>
      <x:c r="I398" s="2" t="str">
        <x:v>数值版 Sheet1!DP2:DT163</x:v>
      </x:c>
    </x:row>
    <x:row r="399" ht="30" customHeight="1">
      <x:c r="A399" s="2" t="str">
        <x:v>Q27</x:v>
      </x:c>
      <x:c r="B399" s="2" t="str">
        <x:v>五级量表</x:v>
      </x:c>
      <x:c r="C399" s="13" t="str">
        <x:v>G3 线上学习平台与移动微课堂</x:v>
      </x:c>
      <x:c r="D399" s="2" t="str">
        <x:v>5分</x:v>
      </x:c>
      <x:c r="E399" s="11" t="n">
        <x:v>47</x:v>
      </x:c>
      <x:c r="F399" s="11" t="n">
        <x:v>162</x:v>
      </x:c>
      <x:c r="G399" s="12" t="n">
        <x:f>IF(F399=0,"n.a.",E399/F399)</x:f>
        <x:v>0.29012345679012347</x:v>
      </x:c>
      <x:c r="H399" s="13" t="str">
        <x:v>Q22高分=差距大；Q35高分=通道畅通；其余按题意</x:v>
      </x:c>
      <x:c r="I399" s="2" t="str">
        <x:v>数值版 Sheet1!DP2:DT163</x:v>
      </x:c>
    </x:row>
    <x:row r="400" ht="30" customHeight="1">
      <x:c r="A400" s="2" t="str">
        <x:v>Q27</x:v>
      </x:c>
      <x:c r="B400" s="2" t="str">
        <x:v>五级量表</x:v>
      </x:c>
      <x:c r="C400" s="13" t="str">
        <x:v>G4 真实管理项目池（项目制学习）</x:v>
      </x:c>
      <x:c r="D400" s="2" t="str">
        <x:v>1分</x:v>
      </x:c>
      <x:c r="E400" s="11" t="n">
        <x:v>0</x:v>
      </x:c>
      <x:c r="F400" s="11" t="n">
        <x:v>162</x:v>
      </x:c>
      <x:c r="G400" s="12" t="n">
        <x:f>IF(F400=0,"n.a.",E400/F400)</x:f>
        <x:v>0</x:v>
      </x:c>
      <x:c r="H400" s="13" t="str">
        <x:v>Q22高分=差距大；Q35高分=通道畅通；其余按题意</x:v>
      </x:c>
      <x:c r="I400" s="2" t="str">
        <x:v>数值版 Sheet1!DP2:DT163</x:v>
      </x:c>
    </x:row>
    <x:row r="401" ht="30" customHeight="1">
      <x:c r="A401" s="2" t="str">
        <x:v>Q27</x:v>
      </x:c>
      <x:c r="B401" s="2" t="str">
        <x:v>五级量表</x:v>
      </x:c>
      <x:c r="C401" s="13" t="str">
        <x:v>G4 真实管理项目池（项目制学习）</x:v>
      </x:c>
      <x:c r="D401" s="2" t="str">
        <x:v>2分</x:v>
      </x:c>
      <x:c r="E401" s="11" t="n">
        <x:v>2</x:v>
      </x:c>
      <x:c r="F401" s="11" t="n">
        <x:v>162</x:v>
      </x:c>
      <x:c r="G401" s="12" t="n">
        <x:f>IF(F401=0,"n.a.",E401/F401)</x:f>
        <x:v>0.012345679012345678</x:v>
      </x:c>
      <x:c r="H401" s="13" t="str">
        <x:v>Q22高分=差距大；Q35高分=通道畅通；其余按题意</x:v>
      </x:c>
      <x:c r="I401" s="2" t="str">
        <x:v>数值版 Sheet1!DP2:DT163</x:v>
      </x:c>
    </x:row>
    <x:row r="402" ht="30" customHeight="1">
      <x:c r="A402" s="2" t="str">
        <x:v>Q27</x:v>
      </x:c>
      <x:c r="B402" s="2" t="str">
        <x:v>五级量表</x:v>
      </x:c>
      <x:c r="C402" s="13" t="str">
        <x:v>G4 真实管理项目池（项目制学习）</x:v>
      </x:c>
      <x:c r="D402" s="2" t="str">
        <x:v>3分</x:v>
      </x:c>
      <x:c r="E402" s="11" t="n">
        <x:v>12</x:v>
      </x:c>
      <x:c r="F402" s="11" t="n">
        <x:v>162</x:v>
      </x:c>
      <x:c r="G402" s="12" t="n">
        <x:f>IF(F402=0,"n.a.",E402/F402)</x:f>
        <x:v>0.07407407407407407</x:v>
      </x:c>
      <x:c r="H402" s="13" t="str">
        <x:v>Q22高分=差距大；Q35高分=通道畅通；其余按题意</x:v>
      </x:c>
      <x:c r="I402" s="2" t="str">
        <x:v>数值版 Sheet1!DP2:DT163</x:v>
      </x:c>
    </x:row>
    <x:row r="403" ht="30" customHeight="1">
      <x:c r="A403" s="2" t="str">
        <x:v>Q27</x:v>
      </x:c>
      <x:c r="B403" s="2" t="str">
        <x:v>五级量表</x:v>
      </x:c>
      <x:c r="C403" s="13" t="str">
        <x:v>G4 真实管理项目池（项目制学习）</x:v>
      </x:c>
      <x:c r="D403" s="2" t="str">
        <x:v>4分</x:v>
      </x:c>
      <x:c r="E403" s="11" t="n">
        <x:v>51</x:v>
      </x:c>
      <x:c r="F403" s="11" t="n">
        <x:v>162</x:v>
      </x:c>
      <x:c r="G403" s="12" t="n">
        <x:f>IF(F403=0,"n.a.",E403/F403)</x:f>
        <x:v>0.3148148148148148</x:v>
      </x:c>
      <x:c r="H403" s="13" t="str">
        <x:v>Q22高分=差距大；Q35高分=通道畅通；其余按题意</x:v>
      </x:c>
      <x:c r="I403" s="2" t="str">
        <x:v>数值版 Sheet1!DP2:DT163</x:v>
      </x:c>
    </x:row>
    <x:row r="404" ht="30" customHeight="1">
      <x:c r="A404" s="2" t="str">
        <x:v>Q27</x:v>
      </x:c>
      <x:c r="B404" s="2" t="str">
        <x:v>五级量表</x:v>
      </x:c>
      <x:c r="C404" s="13" t="str">
        <x:v>G4 真实管理项目池（项目制学习）</x:v>
      </x:c>
      <x:c r="D404" s="2" t="str">
        <x:v>5分</x:v>
      </x:c>
      <x:c r="E404" s="11" t="n">
        <x:v>97</x:v>
      </x:c>
      <x:c r="F404" s="11" t="n">
        <x:v>162</x:v>
      </x:c>
      <x:c r="G404" s="12" t="n">
        <x:f>IF(F404=0,"n.a.",E404/F404)</x:f>
        <x:v>0.5987654320987654</x:v>
      </x:c>
      <x:c r="H404" s="13" t="str">
        <x:v>Q22高分=差距大；Q35高分=通道畅通；其余按题意</x:v>
      </x:c>
      <x:c r="I404" s="2" t="str">
        <x:v>数值版 Sheet1!DP2:DT163</x:v>
      </x:c>
    </x:row>
    <x:row r="405" ht="30" customHeight="1">
      <x:c r="A405" s="2" t="str">
        <x:v>Q27</x:v>
      </x:c>
      <x:c r="B405" s="2" t="str">
        <x:v>五级量表</x:v>
      </x:c>
      <x:c r="C405" s="13" t="str">
        <x:v>G5 虚拟运营沙盘演练</x:v>
      </x:c>
      <x:c r="D405" s="2" t="str">
        <x:v>1分</x:v>
      </x:c>
      <x:c r="E405" s="11" t="n">
        <x:v>5</x:v>
      </x:c>
      <x:c r="F405" s="11" t="n">
        <x:v>162</x:v>
      </x:c>
      <x:c r="G405" s="12" t="n">
        <x:f>IF(F405=0,"n.a.",E405/F405)</x:f>
        <x:v>0.030864197530864196</x:v>
      </x:c>
      <x:c r="H405" s="13" t="str">
        <x:v>Q22高分=差距大；Q35高分=通道畅通；其余按题意</x:v>
      </x:c>
      <x:c r="I405" s="2" t="str">
        <x:v>数值版 Sheet1!DP2:DT163</x:v>
      </x:c>
    </x:row>
    <x:row r="406" ht="30" customHeight="1">
      <x:c r="A406" s="2" t="str">
        <x:v>Q27</x:v>
      </x:c>
      <x:c r="B406" s="2" t="str">
        <x:v>五级量表</x:v>
      </x:c>
      <x:c r="C406" s="13" t="str">
        <x:v>G5 虚拟运营沙盘演练</x:v>
      </x:c>
      <x:c r="D406" s="2" t="str">
        <x:v>2分</x:v>
      </x:c>
      <x:c r="E406" s="11" t="n">
        <x:v>7</x:v>
      </x:c>
      <x:c r="F406" s="11" t="n">
        <x:v>162</x:v>
      </x:c>
      <x:c r="G406" s="12" t="n">
        <x:f>IF(F406=0,"n.a.",E406/F406)</x:f>
        <x:v>0.043209876543209874</x:v>
      </x:c>
      <x:c r="H406" s="13" t="str">
        <x:v>Q22高分=差距大；Q35高分=通道畅通；其余按题意</x:v>
      </x:c>
      <x:c r="I406" s="2" t="str">
        <x:v>数值版 Sheet1!DP2:DT163</x:v>
      </x:c>
    </x:row>
    <x:row r="407" ht="30" customHeight="1">
      <x:c r="A407" s="2" t="str">
        <x:v>Q27</x:v>
      </x:c>
      <x:c r="B407" s="2" t="str">
        <x:v>五级量表</x:v>
      </x:c>
      <x:c r="C407" s="13" t="str">
        <x:v>G5 虚拟运营沙盘演练</x:v>
      </x:c>
      <x:c r="D407" s="2" t="str">
        <x:v>3分</x:v>
      </x:c>
      <x:c r="E407" s="11" t="n">
        <x:v>41</x:v>
      </x:c>
      <x:c r="F407" s="11" t="n">
        <x:v>162</x:v>
      </x:c>
      <x:c r="G407" s="12" t="n">
        <x:f>IF(F407=0,"n.a.",E407/F407)</x:f>
        <x:v>0.25308641975308643</x:v>
      </x:c>
      <x:c r="H407" s="13" t="str">
        <x:v>Q22高分=差距大；Q35高分=通道畅通；其余按题意</x:v>
      </x:c>
      <x:c r="I407" s="2" t="str">
        <x:v>数值版 Sheet1!DP2:DT163</x:v>
      </x:c>
    </x:row>
    <x:row r="408" ht="30" customHeight="1">
      <x:c r="A408" s="2" t="str">
        <x:v>Q27</x:v>
      </x:c>
      <x:c r="B408" s="2" t="str">
        <x:v>五级量表</x:v>
      </x:c>
      <x:c r="C408" s="13" t="str">
        <x:v>G5 虚拟运营沙盘演练</x:v>
      </x:c>
      <x:c r="D408" s="2" t="str">
        <x:v>4分</x:v>
      </x:c>
      <x:c r="E408" s="11" t="n">
        <x:v>56</x:v>
      </x:c>
      <x:c r="F408" s="11" t="n">
        <x:v>162</x:v>
      </x:c>
      <x:c r="G408" s="12" t="n">
        <x:f>IF(F408=0,"n.a.",E408/F408)</x:f>
        <x:v>0.345679012345679</x:v>
      </x:c>
      <x:c r="H408" s="13" t="str">
        <x:v>Q22高分=差距大；Q35高分=通道畅通；其余按题意</x:v>
      </x:c>
      <x:c r="I408" s="2" t="str">
        <x:v>数值版 Sheet1!DP2:DT163</x:v>
      </x:c>
    </x:row>
    <x:row r="409" ht="30" customHeight="1">
      <x:c r="A409" s="2" t="str">
        <x:v>Q27</x:v>
      </x:c>
      <x:c r="B409" s="2" t="str">
        <x:v>五级量表</x:v>
      </x:c>
      <x:c r="C409" s="13" t="str">
        <x:v>G5 虚拟运营沙盘演练</x:v>
      </x:c>
      <x:c r="D409" s="2" t="str">
        <x:v>5分</x:v>
      </x:c>
      <x:c r="E409" s="11" t="n">
        <x:v>53</x:v>
      </x:c>
      <x:c r="F409" s="11" t="n">
        <x:v>162</x:v>
      </x:c>
      <x:c r="G409" s="12" t="n">
        <x:f>IF(F409=0,"n.a.",E409/F409)</x:f>
        <x:v>0.3271604938271605</x:v>
      </x:c>
      <x:c r="H409" s="13" t="str">
        <x:v>Q22高分=差距大；Q35高分=通道畅通；其余按题意</x:v>
      </x:c>
      <x:c r="I409" s="2" t="str">
        <x:v>数值版 Sheet1!DP2:DT163</x:v>
      </x:c>
    </x:row>
    <x:row r="410" ht="30" customHeight="1">
      <x:c r="A410" s="2" t="str">
        <x:v>Q28</x:v>
      </x:c>
      <x:c r="B410" s="2" t="str">
        <x:v>多选</x:v>
      </x:c>
      <x:c r="C410" s="13" t="str">
        <x:v>共建课程体系</x:v>
      </x:c>
      <x:c r="D410" s="2" t="str">
        <x:v>选中</x:v>
      </x:c>
      <x:c r="E410" s="11" t="n">
        <x:v>44</x:v>
      </x:c>
      <x:c r="F410" s="11" t="n">
        <x:v>162</x:v>
      </x:c>
      <x:c r="G410" s="12" t="n">
        <x:f>IF(F410=0,"n.a.",E410/F410)</x:f>
        <x:v>0.2716049382716049</x:v>
      </x:c>
      <x:c r="H410" s="13" t="str">
        <x:v>多选：各选项比例之和可超过100%</x:v>
      </x:c>
      <x:c r="I410" s="2" t="str">
        <x:v>数值版 Sheet1!DU2:EA163</x:v>
      </x:c>
    </x:row>
    <x:row r="411" ht="30" customHeight="1">
      <x:c r="A411" s="2" t="str">
        <x:v>Q28</x:v>
      </x:c>
      <x:c r="B411" s="2" t="str">
        <x:v>多选</x:v>
      </x:c>
      <x:c r="C411" s="13" t="str">
        <x:v>共建课程体系</x:v>
      </x:c>
      <x:c r="D411" s="2" t="str">
        <x:v>未选中</x:v>
      </x:c>
      <x:c r="E411" s="11" t="n">
        <x:v>118</x:v>
      </x:c>
      <x:c r="F411" s="11" t="n">
        <x:v>162</x:v>
      </x:c>
      <x:c r="G411" s="12" t="n">
        <x:f>IF(F411=0,"n.a.",E411/F411)</x:f>
        <x:v>0.7283950617283951</x:v>
      </x:c>
      <x:c r="H411" s="13" t="str">
        <x:v>未选中不等于缺失</x:v>
      </x:c>
      <x:c r="I411" s="2" t="str">
        <x:v>数值版 Sheet1!DU2:EA163</x:v>
      </x:c>
    </x:row>
    <x:row r="412" ht="30" customHeight="1">
      <x:c r="A412" s="2" t="str">
        <x:v>Q28</x:v>
      </x:c>
      <x:c r="B412" s="2" t="str">
        <x:v>多选</x:v>
      </x:c>
      <x:c r="C412" s="13" t="str">
        <x:v>共建案例库</x:v>
      </x:c>
      <x:c r="D412" s="2" t="str">
        <x:v>选中</x:v>
      </x:c>
      <x:c r="E412" s="11" t="n">
        <x:v>35</x:v>
      </x:c>
      <x:c r="F412" s="11" t="n">
        <x:v>162</x:v>
      </x:c>
      <x:c r="G412" s="12" t="n">
        <x:f>IF(F412=0,"n.a.",E412/F412)</x:f>
        <x:v>0.21604938271604937</x:v>
      </x:c>
      <x:c r="H412" s="13" t="str">
        <x:v>多选：各选项比例之和可超过100%</x:v>
      </x:c>
      <x:c r="I412" s="2" t="str">
        <x:v>数值版 Sheet1!DU2:EA163</x:v>
      </x:c>
    </x:row>
    <x:row r="413" ht="30" customHeight="1">
      <x:c r="A413" s="2" t="str">
        <x:v>Q28</x:v>
      </x:c>
      <x:c r="B413" s="2" t="str">
        <x:v>多选</x:v>
      </x:c>
      <x:c r="C413" s="13" t="str">
        <x:v>共建案例库</x:v>
      </x:c>
      <x:c r="D413" s="2" t="str">
        <x:v>未选中</x:v>
      </x:c>
      <x:c r="E413" s="11" t="n">
        <x:v>127</x:v>
      </x:c>
      <x:c r="F413" s="11" t="n">
        <x:v>162</x:v>
      </x:c>
      <x:c r="G413" s="12" t="n">
        <x:f>IF(F413=0,"n.a.",E413/F413)</x:f>
        <x:v>0.7839506172839507</x:v>
      </x:c>
      <x:c r="H413" s="13" t="str">
        <x:v>未选中不等于缺失</x:v>
      </x:c>
      <x:c r="I413" s="2" t="str">
        <x:v>数值版 Sheet1!DU2:EA163</x:v>
      </x:c>
    </x:row>
    <x:row r="414" ht="30" customHeight="1">
      <x:c r="A414" s="2" t="str">
        <x:v>Q28</x:v>
      </x:c>
      <x:c r="B414" s="2" t="str">
        <x:v>多选</x:v>
      </x:c>
      <x:c r="C414" s="13" t="str">
        <x:v>共建实践基地</x:v>
      </x:c>
      <x:c r="D414" s="2" t="str">
        <x:v>选中</x:v>
      </x:c>
      <x:c r="E414" s="11" t="n">
        <x:v>49</x:v>
      </x:c>
      <x:c r="F414" s="11" t="n">
        <x:v>162</x:v>
      </x:c>
      <x:c r="G414" s="12" t="n">
        <x:f>IF(F414=0,"n.a.",E414/F414)</x:f>
        <x:v>0.30246913580246915</x:v>
      </x:c>
      <x:c r="H414" s="13" t="str">
        <x:v>多选：各选项比例之和可超过100%</x:v>
      </x:c>
      <x:c r="I414" s="2" t="str">
        <x:v>数值版 Sheet1!DU2:EA163</x:v>
      </x:c>
    </x:row>
    <x:row r="415" ht="30" customHeight="1">
      <x:c r="A415" s="2" t="str">
        <x:v>Q28</x:v>
      </x:c>
      <x:c r="B415" s="2" t="str">
        <x:v>多选</x:v>
      </x:c>
      <x:c r="C415" s="13" t="str">
        <x:v>共建实践基地</x:v>
      </x:c>
      <x:c r="D415" s="2" t="str">
        <x:v>未选中</x:v>
      </x:c>
      <x:c r="E415" s="11" t="n">
        <x:v>113</x:v>
      </x:c>
      <x:c r="F415" s="11" t="n">
        <x:v>162</x:v>
      </x:c>
      <x:c r="G415" s="12" t="n">
        <x:f>IF(F415=0,"n.a.",E415/F415)</x:f>
        <x:v>0.6975308641975309</x:v>
      </x:c>
      <x:c r="H415" s="13" t="str">
        <x:v>未选中不等于缺失</x:v>
      </x:c>
      <x:c r="I415" s="2" t="str">
        <x:v>数值版 Sheet1!DU2:EA163</x:v>
      </x:c>
    </x:row>
    <x:row r="416" ht="30" customHeight="1">
      <x:c r="A416" s="2" t="str">
        <x:v>Q28</x:v>
      </x:c>
      <x:c r="B416" s="2" t="str">
        <x:v>多选</x:v>
      </x:c>
      <x:c r="C416" s="13" t="str">
        <x:v>联合开展岗位能力评价</x:v>
      </x:c>
      <x:c r="D416" s="2" t="str">
        <x:v>选中</x:v>
      </x:c>
      <x:c r="E416" s="11" t="n">
        <x:v>17</x:v>
      </x:c>
      <x:c r="F416" s="11" t="n">
        <x:v>162</x:v>
      </x:c>
      <x:c r="G416" s="12" t="n">
        <x:f>IF(F416=0,"n.a.",E416/F416)</x:f>
        <x:v>0.10493827160493827</x:v>
      </x:c>
      <x:c r="H416" s="13" t="str">
        <x:v>多选：各选项比例之和可超过100%</x:v>
      </x:c>
      <x:c r="I416" s="2" t="str">
        <x:v>数值版 Sheet1!DU2:EA163</x:v>
      </x:c>
    </x:row>
    <x:row r="417" ht="30" customHeight="1">
      <x:c r="A417" s="2" t="str">
        <x:v>Q28</x:v>
      </x:c>
      <x:c r="B417" s="2" t="str">
        <x:v>多选</x:v>
      </x:c>
      <x:c r="C417" s="13" t="str">
        <x:v>联合开展岗位能力评价</x:v>
      </x:c>
      <x:c r="D417" s="2" t="str">
        <x:v>未选中</x:v>
      </x:c>
      <x:c r="E417" s="11" t="n">
        <x:v>145</x:v>
      </x:c>
      <x:c r="F417" s="11" t="n">
        <x:v>162</x:v>
      </x:c>
      <x:c r="G417" s="12" t="n">
        <x:f>IF(F417=0,"n.a.",E417/F417)</x:f>
        <x:v>0.8950617283950617</x:v>
      </x:c>
      <x:c r="H417" s="13" t="str">
        <x:v>未选中不等于缺失</x:v>
      </x:c>
      <x:c r="I417" s="2" t="str">
        <x:v>数值版 Sheet1!DU2:EA163</x:v>
      </x:c>
    </x:row>
    <x:row r="418" ht="30" customHeight="1">
      <x:c r="A418" s="2" t="str">
        <x:v>Q28</x:v>
      </x:c>
      <x:c r="B418" s="2" t="str">
        <x:v>多选</x:v>
      </x:c>
      <x:c r="C418" s="13" t="str">
        <x:v>互派师资/导师</x:v>
      </x:c>
      <x:c r="D418" s="2" t="str">
        <x:v>选中</x:v>
      </x:c>
      <x:c r="E418" s="11" t="n">
        <x:v>13</x:v>
      </x:c>
      <x:c r="F418" s="11" t="n">
        <x:v>162</x:v>
      </x:c>
      <x:c r="G418" s="12" t="n">
        <x:f>IF(F418=0,"n.a.",E418/F418)</x:f>
        <x:v>0.08024691358024691</x:v>
      </x:c>
      <x:c r="H418" s="13" t="str">
        <x:v>多选：各选项比例之和可超过100%</x:v>
      </x:c>
      <x:c r="I418" s="2" t="str">
        <x:v>数值版 Sheet1!DU2:EA163</x:v>
      </x:c>
    </x:row>
    <x:row r="419" ht="30" customHeight="1">
      <x:c r="A419" s="2" t="str">
        <x:v>Q28</x:v>
      </x:c>
      <x:c r="B419" s="2" t="str">
        <x:v>多选</x:v>
      </x:c>
      <x:c r="C419" s="13" t="str">
        <x:v>互派师资/导师</x:v>
      </x:c>
      <x:c r="D419" s="2" t="str">
        <x:v>未选中</x:v>
      </x:c>
      <x:c r="E419" s="11" t="n">
        <x:v>149</x:v>
      </x:c>
      <x:c r="F419" s="11" t="n">
        <x:v>162</x:v>
      </x:c>
      <x:c r="G419" s="12" t="n">
        <x:f>IF(F419=0,"n.a.",E419/F419)</x:f>
        <x:v>0.9197530864197531</x:v>
      </x:c>
      <x:c r="H419" s="13" t="str">
        <x:v>未选中不等于缺失</x:v>
      </x:c>
      <x:c r="I419" s="2" t="str">
        <x:v>数值版 Sheet1!DU2:EA163</x:v>
      </x:c>
    </x:row>
    <x:row r="420" ht="30" customHeight="1">
      <x:c r="A420" s="2" t="str">
        <x:v>Q28</x:v>
      </x:c>
      <x:c r="B420" s="2" t="str">
        <x:v>多选</x:v>
      </x:c>
      <x:c r="C420" s="13" t="str">
        <x:v>委托开展专项培训</x:v>
      </x:c>
      <x:c r="D420" s="2" t="str">
        <x:v>选中</x:v>
      </x:c>
      <x:c r="E420" s="11" t="n">
        <x:v>49</x:v>
      </x:c>
      <x:c r="F420" s="11" t="n">
        <x:v>162</x:v>
      </x:c>
      <x:c r="G420" s="12" t="n">
        <x:f>IF(F420=0,"n.a.",E420/F420)</x:f>
        <x:v>0.30246913580246915</x:v>
      </x:c>
      <x:c r="H420" s="13" t="str">
        <x:v>多选：各选项比例之和可超过100%</x:v>
      </x:c>
      <x:c r="I420" s="2" t="str">
        <x:v>数值版 Sheet1!DU2:EA163</x:v>
      </x:c>
    </x:row>
    <x:row r="421" ht="30" customHeight="1">
      <x:c r="A421" s="2" t="str">
        <x:v>Q28</x:v>
      </x:c>
      <x:c r="B421" s="2" t="str">
        <x:v>多选</x:v>
      </x:c>
      <x:c r="C421" s="13" t="str">
        <x:v>委托开展专项培训</x:v>
      </x:c>
      <x:c r="D421" s="2" t="str">
        <x:v>未选中</x:v>
      </x:c>
      <x:c r="E421" s="11" t="n">
        <x:v>113</x:v>
      </x:c>
      <x:c r="F421" s="11" t="n">
        <x:v>162</x:v>
      </x:c>
      <x:c r="G421" s="12" t="n">
        <x:f>IF(F421=0,"n.a.",E421/F421)</x:f>
        <x:v>0.6975308641975309</x:v>
      </x:c>
      <x:c r="H421" s="13" t="str">
        <x:v>未选中不等于缺失</x:v>
      </x:c>
      <x:c r="I421" s="2" t="str">
        <x:v>数值版 Sheet1!DU2:EA163</x:v>
      </x:c>
    </x:row>
    <x:row r="422" ht="30" customHeight="1">
      <x:c r="A422" s="2" t="str">
        <x:v>Q28</x:v>
      </x:c>
      <x:c r="B422" s="2" t="str">
        <x:v>多选</x:v>
      </x:c>
      <x:c r="C422" s="13" t="str">
        <x:v>尚无合作</x:v>
      </x:c>
      <x:c r="D422" s="2" t="str">
        <x:v>选中</x:v>
      </x:c>
      <x:c r="E422" s="11" t="n">
        <x:v>80</x:v>
      </x:c>
      <x:c r="F422" s="11" t="n">
        <x:v>162</x:v>
      </x:c>
      <x:c r="G422" s="12" t="n">
        <x:f>IF(F422=0,"n.a.",E422/F422)</x:f>
        <x:v>0.49382716049382713</x:v>
      </x:c>
      <x:c r="H422" s="13" t="str">
        <x:v>多选：各选项比例之和可超过100%</x:v>
      </x:c>
      <x:c r="I422" s="2" t="str">
        <x:v>数值版 Sheet1!DU2:EA163</x:v>
      </x:c>
    </x:row>
    <x:row r="423" ht="30" customHeight="1">
      <x:c r="A423" s="2" t="str">
        <x:v>Q28</x:v>
      </x:c>
      <x:c r="B423" s="2" t="str">
        <x:v>多选</x:v>
      </x:c>
      <x:c r="C423" s="13" t="str">
        <x:v>尚无合作</x:v>
      </x:c>
      <x:c r="D423" s="2" t="str">
        <x:v>未选中</x:v>
      </x:c>
      <x:c r="E423" s="11" t="n">
        <x:v>82</x:v>
      </x:c>
      <x:c r="F423" s="11" t="n">
        <x:v>162</x:v>
      </x:c>
      <x:c r="G423" s="12" t="n">
        <x:f>IF(F423=0,"n.a.",E423/F423)</x:f>
        <x:v>0.5061728395061729</x:v>
      </x:c>
      <x:c r="H423" s="13" t="str">
        <x:v>未选中不等于缺失</x:v>
      </x:c>
      <x:c r="I423" s="2" t="str">
        <x:v>数值版 Sheet1!DU2:EA163</x:v>
      </x:c>
    </x:row>
    <x:row r="424" ht="30" customHeight="1">
      <x:c r="A424" s="2" t="str">
        <x:v>Q29</x:v>
      </x:c>
      <x:c r="B424" s="2" t="str">
        <x:v>单选</x:v>
      </x:c>
      <x:c r="C424" s="13" t="str">
        <x:v>已实施</x:v>
      </x:c>
      <x:c r="D424" s="2" t="str">
        <x:v>1</x:v>
      </x:c>
      <x:c r="E424" s="11" t="n">
        <x:v>7</x:v>
      </x:c>
      <x:c r="F424" s="11" t="n">
        <x:v>162</x:v>
      </x:c>
      <x:c r="G424" s="12" t="n">
        <x:f>IF(F424=0,"n.a.",E424/F424)</x:f>
        <x:v>0.043209876543209874</x:v>
      </x:c>
      <x:c r="H424" s="13" t="str">
        <x:v>选项人数/该题有效答卷数</x:v>
      </x:c>
      <x:c r="I424" s="2" t="str">
        <x:v>数值版 Sheet1!EB2:EB163</x:v>
      </x:c>
    </x:row>
    <x:row r="425" ht="30" customHeight="1">
      <x:c r="A425" s="2" t="str">
        <x:v>Q29</x:v>
      </x:c>
      <x:c r="B425" s="2" t="str">
        <x:v>单选</x:v>
      </x:c>
      <x:c r="C425" s="13" t="str">
        <x:v>有意愿、一年内启动</x:v>
      </x:c>
      <x:c r="D425" s="2" t="str">
        <x:v>2</x:v>
      </x:c>
      <x:c r="E425" s="11" t="n">
        <x:v>12</x:v>
      </x:c>
      <x:c r="F425" s="11" t="n">
        <x:v>162</x:v>
      </x:c>
      <x:c r="G425" s="12" t="n">
        <x:f>IF(F425=0,"n.a.",E425/F425)</x:f>
        <x:v>0.07407407407407407</x:v>
      </x:c>
      <x:c r="H425" s="13" t="str">
        <x:v>选项人数/该题有效答卷数</x:v>
      </x:c>
      <x:c r="I425" s="2" t="str">
        <x:v>数值版 Sheet1!EB2:EB163</x:v>
      </x:c>
    </x:row>
    <x:row r="426" ht="30" customHeight="1">
      <x:c r="A426" s="2" t="str">
        <x:v>Q29</x:v>
      </x:c>
      <x:c r="B426" s="2" t="str">
        <x:v>单选</x:v>
      </x:c>
      <x:c r="C426" s="13" t="str">
        <x:v>有意愿但条件暂不具备</x:v>
      </x:c>
      <x:c r="D426" s="2" t="str">
        <x:v>3</x:v>
      </x:c>
      <x:c r="E426" s="11" t="n">
        <x:v>91</x:v>
      </x:c>
      <x:c r="F426" s="11" t="n">
        <x:v>162</x:v>
      </x:c>
      <x:c r="G426" s="12" t="n">
        <x:f>IF(F426=0,"n.a.",E426/F426)</x:f>
        <x:v>0.5617283950617284</x:v>
      </x:c>
      <x:c r="H426" s="13" t="str">
        <x:v>选项人数/该题有效答卷数</x:v>
      </x:c>
      <x:c r="I426" s="2" t="str">
        <x:v>数值版 Sheet1!EB2:EB163</x:v>
      </x:c>
    </x:row>
    <x:row r="427" ht="30" customHeight="1">
      <x:c r="A427" s="2" t="str">
        <x:v>Q29</x:v>
      </x:c>
      <x:c r="B427" s="2" t="str">
        <x:v>单选</x:v>
      </x:c>
      <x:c r="C427" s="13" t="str">
        <x:v>暂无意愿</x:v>
      </x:c>
      <x:c r="D427" s="2" t="str">
        <x:v>4</x:v>
      </x:c>
      <x:c r="E427" s="11" t="n">
        <x:v>52</x:v>
      </x:c>
      <x:c r="F427" s="11" t="n">
        <x:v>162</x:v>
      </x:c>
      <x:c r="G427" s="12" t="n">
        <x:f>IF(F427=0,"n.a.",E427/F427)</x:f>
        <x:v>0.32098765432098764</x:v>
      </x:c>
      <x:c r="H427" s="13" t="str">
        <x:v>选项人数/该题有效答卷数</x:v>
      </x:c>
      <x:c r="I427" s="2" t="str">
        <x:v>数值版 Sheet1!EB2:EB163</x:v>
      </x:c>
    </x:row>
    <x:row r="428" ht="30" customHeight="1">
      <x:c r="A428" s="2" t="str">
        <x:v>Q30</x:v>
      </x:c>
      <x:c r="B428" s="2" t="str">
        <x:v>多选</x:v>
      </x:c>
      <x:c r="C428" s="13" t="str">
        <x:v>阶段性测试或结业考核</x:v>
      </x:c>
      <x:c r="D428" s="2" t="str">
        <x:v>选中</x:v>
      </x:c>
      <x:c r="E428" s="11" t="n">
        <x:v>43</x:v>
      </x:c>
      <x:c r="F428" s="11" t="n">
        <x:v>162</x:v>
      </x:c>
      <x:c r="G428" s="12" t="n">
        <x:f>IF(F428=0,"n.a.",E428/F428)</x:f>
        <x:v>0.2654320987654321</x:v>
      </x:c>
      <x:c r="H428" s="13" t="str">
        <x:v>多选：各选项比例之和可超过100%</x:v>
      </x:c>
      <x:c r="I428" s="2" t="str">
        <x:v>数值版 Sheet1!EC2:EG163</x:v>
      </x:c>
    </x:row>
    <x:row r="429" ht="30" customHeight="1">
      <x:c r="A429" s="2" t="str">
        <x:v>Q30</x:v>
      </x:c>
      <x:c r="B429" s="2" t="str">
        <x:v>多选</x:v>
      </x:c>
      <x:c r="C429" s="13" t="str">
        <x:v>阶段性测试或结业考核</x:v>
      </x:c>
      <x:c r="D429" s="2" t="str">
        <x:v>未选中</x:v>
      </x:c>
      <x:c r="E429" s="11" t="n">
        <x:v>119</x:v>
      </x:c>
      <x:c r="F429" s="11" t="n">
        <x:v>162</x:v>
      </x:c>
      <x:c r="G429" s="12" t="n">
        <x:f>IF(F429=0,"n.a.",E429/F429)</x:f>
        <x:v>0.7345679012345679</x:v>
      </x:c>
      <x:c r="H429" s="13" t="str">
        <x:v>未选中不等于缺失</x:v>
      </x:c>
      <x:c r="I429" s="2" t="str">
        <x:v>数值版 Sheet1!EC2:EG163</x:v>
      </x:c>
    </x:row>
    <x:row r="430" ht="30" customHeight="1">
      <x:c r="A430" s="2" t="str">
        <x:v>Q30</x:v>
      </x:c>
      <x:c r="B430" s="2" t="str">
        <x:v>多选</x:v>
      </x:c>
      <x:c r="C430" s="13" t="str">
        <x:v>培训前后绩效指标对照</x:v>
      </x:c>
      <x:c r="D430" s="2" t="str">
        <x:v>选中</x:v>
      </x:c>
      <x:c r="E430" s="11" t="n">
        <x:v>37</x:v>
      </x:c>
      <x:c r="F430" s="11" t="n">
        <x:v>162</x:v>
      </x:c>
      <x:c r="G430" s="12" t="n">
        <x:f>IF(F430=0,"n.a.",E430/F430)</x:f>
        <x:v>0.22839506172839505</x:v>
      </x:c>
      <x:c r="H430" s="13" t="str">
        <x:v>多选：各选项比例之和可超过100%</x:v>
      </x:c>
      <x:c r="I430" s="2" t="str">
        <x:v>数值版 Sheet1!EC2:EG163</x:v>
      </x:c>
    </x:row>
    <x:row r="431" ht="30" customHeight="1">
      <x:c r="A431" s="2" t="str">
        <x:v>Q30</x:v>
      </x:c>
      <x:c r="B431" s="2" t="str">
        <x:v>多选</x:v>
      </x:c>
      <x:c r="C431" s="13" t="str">
        <x:v>培训前后绩效指标对照</x:v>
      </x:c>
      <x:c r="D431" s="2" t="str">
        <x:v>未选中</x:v>
      </x:c>
      <x:c r="E431" s="11" t="n">
        <x:v>125</x:v>
      </x:c>
      <x:c r="F431" s="11" t="n">
        <x:v>162</x:v>
      </x:c>
      <x:c r="G431" s="12" t="n">
        <x:f>IF(F431=0,"n.a.",E431/F431)</x:f>
        <x:v>0.7716049382716049</x:v>
      </x:c>
      <x:c r="H431" s="13" t="str">
        <x:v>未选中不等于缺失</x:v>
      </x:c>
      <x:c r="I431" s="2" t="str">
        <x:v>数值版 Sheet1!EC2:EG163</x:v>
      </x:c>
    </x:row>
    <x:row r="432" ht="30" customHeight="1">
      <x:c r="A432" s="2" t="str">
        <x:v>Q30</x:v>
      </x:c>
      <x:c r="B432" s="2" t="str">
        <x:v>多选</x:v>
      </x:c>
      <x:c r="C432" s="13" t="str">
        <x:v>成果汇报与案例产出</x:v>
      </x:c>
      <x:c r="D432" s="2" t="str">
        <x:v>选中</x:v>
      </x:c>
      <x:c r="E432" s="11" t="n">
        <x:v>70</x:v>
      </x:c>
      <x:c r="F432" s="11" t="n">
        <x:v>162</x:v>
      </x:c>
      <x:c r="G432" s="12" t="n">
        <x:f>IF(F432=0,"n.a.",E432/F432)</x:f>
        <x:v>0.43209876543209874</x:v>
      </x:c>
      <x:c r="H432" s="13" t="str">
        <x:v>多选：各选项比例之和可超过100%</x:v>
      </x:c>
      <x:c r="I432" s="2" t="str">
        <x:v>数值版 Sheet1!EC2:EG163</x:v>
      </x:c>
    </x:row>
    <x:row r="433" ht="30" customHeight="1">
      <x:c r="A433" s="2" t="str">
        <x:v>Q30</x:v>
      </x:c>
      <x:c r="B433" s="2" t="str">
        <x:v>多选</x:v>
      </x:c>
      <x:c r="C433" s="13" t="str">
        <x:v>成果汇报与案例产出</x:v>
      </x:c>
      <x:c r="D433" s="2" t="str">
        <x:v>未选中</x:v>
      </x:c>
      <x:c r="E433" s="11" t="n">
        <x:v>92</x:v>
      </x:c>
      <x:c r="F433" s="11" t="n">
        <x:v>162</x:v>
      </x:c>
      <x:c r="G433" s="12" t="n">
        <x:f>IF(F433=0,"n.a.",E433/F433)</x:f>
        <x:v>0.5679012345679012</x:v>
      </x:c>
      <x:c r="H433" s="13" t="str">
        <x:v>未选中不等于缺失</x:v>
      </x:c>
      <x:c r="I433" s="2" t="str">
        <x:v>数值版 Sheet1!EC2:EG163</x:v>
      </x:c>
    </x:row>
    <x:row r="434" ht="30" customHeight="1">
      <x:c r="A434" s="2" t="str">
        <x:v>Q30</x:v>
      </x:c>
      <x:c r="B434" s="2" t="str">
        <x:v>多选</x:v>
      </x:c>
      <x:c r="C434" s="13" t="str">
        <x:v>培训结果与考核、聘任挂钩</x:v>
      </x:c>
      <x:c r="D434" s="2" t="str">
        <x:v>选中</x:v>
      </x:c>
      <x:c r="E434" s="11" t="n">
        <x:v>22</x:v>
      </x:c>
      <x:c r="F434" s="11" t="n">
        <x:v>162</x:v>
      </x:c>
      <x:c r="G434" s="12" t="n">
        <x:f>IF(F434=0,"n.a.",E434/F434)</x:f>
        <x:v>0.13580246913580246</x:v>
      </x:c>
      <x:c r="H434" s="13" t="str">
        <x:v>多选：各选项比例之和可超过100%</x:v>
      </x:c>
      <x:c r="I434" s="2" t="str">
        <x:v>数值版 Sheet1!EC2:EG163</x:v>
      </x:c>
    </x:row>
    <x:row r="435" ht="30" customHeight="1">
      <x:c r="A435" s="2" t="str">
        <x:v>Q30</x:v>
      </x:c>
      <x:c r="B435" s="2" t="str">
        <x:v>多选</x:v>
      </x:c>
      <x:c r="C435" s="13" t="str">
        <x:v>培训结果与考核、聘任挂钩</x:v>
      </x:c>
      <x:c r="D435" s="2" t="str">
        <x:v>未选中</x:v>
      </x:c>
      <x:c r="E435" s="11" t="n">
        <x:v>140</x:v>
      </x:c>
      <x:c r="F435" s="11" t="n">
        <x:v>162</x:v>
      </x:c>
      <x:c r="G435" s="12" t="n">
        <x:f>IF(F435=0,"n.a.",E435/F435)</x:f>
        <x:v>0.8641975308641975</x:v>
      </x:c>
      <x:c r="H435" s="13" t="str">
        <x:v>未选中不等于缺失</x:v>
      </x:c>
      <x:c r="I435" s="2" t="str">
        <x:v>数值版 Sheet1!EC2:EG163</x:v>
      </x:c>
    </x:row>
    <x:row r="436" ht="30" customHeight="1">
      <x:c r="A436" s="2" t="str">
        <x:v>Q30</x:v>
      </x:c>
      <x:c r="B436" s="2" t="str">
        <x:v>多选</x:v>
      </x:c>
      <x:c r="C436" s="13" t="str">
        <x:v>尚无系统评估</x:v>
      </x:c>
      <x:c r="D436" s="2" t="str">
        <x:v>选中</x:v>
      </x:c>
      <x:c r="E436" s="11" t="n">
        <x:v>85</x:v>
      </x:c>
      <x:c r="F436" s="11" t="n">
        <x:v>162</x:v>
      </x:c>
      <x:c r="G436" s="12" t="n">
        <x:f>IF(F436=0,"n.a.",E436/F436)</x:f>
        <x:v>0.5246913580246914</x:v>
      </x:c>
      <x:c r="H436" s="13" t="str">
        <x:v>多选：各选项比例之和可超过100%</x:v>
      </x:c>
      <x:c r="I436" s="2" t="str">
        <x:v>数值版 Sheet1!EC2:EG163</x:v>
      </x:c>
    </x:row>
    <x:row r="437" ht="30" customHeight="1">
      <x:c r="A437" s="2" t="str">
        <x:v>Q30</x:v>
      </x:c>
      <x:c r="B437" s="2" t="str">
        <x:v>多选</x:v>
      </x:c>
      <x:c r="C437" s="13" t="str">
        <x:v>尚无系统评估</x:v>
      </x:c>
      <x:c r="D437" s="2" t="str">
        <x:v>未选中</x:v>
      </x:c>
      <x:c r="E437" s="11" t="n">
        <x:v>77</x:v>
      </x:c>
      <x:c r="F437" s="11" t="n">
        <x:v>162</x:v>
      </x:c>
      <x:c r="G437" s="12" t="n">
        <x:f>IF(F437=0,"n.a.",E437/F437)</x:f>
        <x:v>0.47530864197530864</x:v>
      </x:c>
      <x:c r="H437" s="13" t="str">
        <x:v>未选中不等于缺失</x:v>
      </x:c>
      <x:c r="I437" s="2" t="str">
        <x:v>数值版 Sheet1!EC2:EG163</x:v>
      </x:c>
    </x:row>
    <x:row r="438" ht="30" customHeight="1">
      <x:c r="A438" s="2" t="str">
        <x:v>Q31</x:v>
      </x:c>
      <x:c r="B438" s="2" t="str">
        <x:v>单选</x:v>
      </x:c>
      <x:c r="C438" s="13" t="str">
        <x:v>3年以下</x:v>
      </x:c>
      <x:c r="D438" s="2" t="str">
        <x:v>1</x:v>
      </x:c>
      <x:c r="E438" s="11" t="n">
        <x:v>23</x:v>
      </x:c>
      <x:c r="F438" s="11" t="n">
        <x:v>162</x:v>
      </x:c>
      <x:c r="G438" s="12" t="n">
        <x:f>IF(F438=0,"n.a.",E438/F438)</x:f>
        <x:v>0.1419753086419753</x:v>
      </x:c>
      <x:c r="H438" s="13" t="str">
        <x:v>选项人数/该题有效答卷数</x:v>
      </x:c>
      <x:c r="I438" s="2" t="str">
        <x:v>数值版 Sheet1!EH2:EH163</x:v>
      </x:c>
    </x:row>
    <x:row r="439" ht="30" customHeight="1">
      <x:c r="A439" s="2" t="str">
        <x:v>Q31</x:v>
      </x:c>
      <x:c r="B439" s="2" t="str">
        <x:v>单选</x:v>
      </x:c>
      <x:c r="C439" s="13" t="str">
        <x:v>3—5年</x:v>
      </x:c>
      <x:c r="D439" s="2" t="str">
        <x:v>2</x:v>
      </x:c>
      <x:c r="E439" s="11" t="n">
        <x:v>103</x:v>
      </x:c>
      <x:c r="F439" s="11" t="n">
        <x:v>162</x:v>
      </x:c>
      <x:c r="G439" s="12" t="n">
        <x:f>IF(F439=0,"n.a.",E439/F439)</x:f>
        <x:v>0.6358024691358025</x:v>
      </x:c>
      <x:c r="H439" s="13" t="str">
        <x:v>选项人数/该题有效答卷数</x:v>
      </x:c>
      <x:c r="I439" s="2" t="str">
        <x:v>数值版 Sheet1!EH2:EH163</x:v>
      </x:c>
    </x:row>
    <x:row r="440" ht="30" customHeight="1">
      <x:c r="A440" s="2" t="str">
        <x:v>Q31</x:v>
      </x:c>
      <x:c r="B440" s="2" t="str">
        <x:v>单选</x:v>
      </x:c>
      <x:c r="C440" s="13" t="str">
        <x:v>6—10年</x:v>
      </x:c>
      <x:c r="D440" s="2" t="str">
        <x:v>3</x:v>
      </x:c>
      <x:c r="E440" s="11" t="n">
        <x:v>28</x:v>
      </x:c>
      <x:c r="F440" s="11" t="n">
        <x:v>162</x:v>
      </x:c>
      <x:c r="G440" s="12" t="n">
        <x:f>IF(F440=0,"n.a.",E440/F440)</x:f>
        <x:v>0.1728395061728395</x:v>
      </x:c>
      <x:c r="H440" s="13" t="str">
        <x:v>选项人数/该题有效答卷数</x:v>
      </x:c>
      <x:c r="I440" s="2" t="str">
        <x:v>数值版 Sheet1!EH2:EH163</x:v>
      </x:c>
    </x:row>
    <x:row r="441" ht="30" customHeight="1">
      <x:c r="A441" s="2" t="str">
        <x:v>Q31</x:v>
      </x:c>
      <x:c r="B441" s="2" t="str">
        <x:v>单选</x:v>
      </x:c>
      <x:c r="C441" s="13" t="str">
        <x:v>10年及以上</x:v>
      </x:c>
      <x:c r="D441" s="2" t="str">
        <x:v>4</x:v>
      </x:c>
      <x:c r="E441" s="11" t="n">
        <x:v>8</x:v>
      </x:c>
      <x:c r="F441" s="11" t="n">
        <x:v>162</x:v>
      </x:c>
      <x:c r="G441" s="12" t="n">
        <x:f>IF(F441=0,"n.a.",E441/F441)</x:f>
        <x:v>0.04938271604938271</x:v>
      </x:c>
      <x:c r="H441" s="13" t="str">
        <x:v>选项人数/该题有效答卷数</x:v>
      </x:c>
      <x:c r="I441" s="2" t="str">
        <x:v>数值版 Sheet1!EH2:EH163</x:v>
      </x:c>
    </x:row>
    <x:row r="442" ht="30" customHeight="1">
      <x:c r="A442" s="2" t="str">
        <x:v>Q32</x:v>
      </x:c>
      <x:c r="B442" s="2" t="str">
        <x:v>五级量表</x:v>
      </x:c>
      <x:c r="C442" s="13" t="str">
        <x:v>H1 组织领导与归口管理</x:v>
      </x:c>
      <x:c r="D442" s="2" t="str">
        <x:v>1分</x:v>
      </x:c>
      <x:c r="E442" s="11" t="n">
        <x:v>0</x:v>
      </x:c>
      <x:c r="F442" s="11" t="n">
        <x:v>162</x:v>
      </x:c>
      <x:c r="G442" s="12" t="n">
        <x:f>IF(F442=0,"n.a.",E442/F442)</x:f>
        <x:v>0</x:v>
      </x:c>
      <x:c r="H442" s="13" t="str">
        <x:v>Q22高分=差距大；Q35高分=通道畅通；其余按题意</x:v>
      </x:c>
      <x:c r="I442" s="2" t="str">
        <x:v>数值版 Sheet1!EI2:EP163</x:v>
      </x:c>
    </x:row>
    <x:row r="443" ht="30" customHeight="1">
      <x:c r="A443" s="2" t="str">
        <x:v>Q32</x:v>
      </x:c>
      <x:c r="B443" s="2" t="str">
        <x:v>五级量表</x:v>
      </x:c>
      <x:c r="C443" s="13" t="str">
        <x:v>H1 组织领导与归口管理</x:v>
      </x:c>
      <x:c r="D443" s="2" t="str">
        <x:v>2分</x:v>
      </x:c>
      <x:c r="E443" s="11" t="n">
        <x:v>2</x:v>
      </x:c>
      <x:c r="F443" s="11" t="n">
        <x:v>162</x:v>
      </x:c>
      <x:c r="G443" s="12" t="n">
        <x:f>IF(F443=0,"n.a.",E443/F443)</x:f>
        <x:v>0.012345679012345678</x:v>
      </x:c>
      <x:c r="H443" s="13" t="str">
        <x:v>Q22高分=差距大；Q35高分=通道畅通；其余按题意</x:v>
      </x:c>
      <x:c r="I443" s="2" t="str">
        <x:v>数值版 Sheet1!EI2:EP163</x:v>
      </x:c>
    </x:row>
    <x:row r="444" ht="30" customHeight="1">
      <x:c r="A444" s="2" t="str">
        <x:v>Q32</x:v>
      </x:c>
      <x:c r="B444" s="2" t="str">
        <x:v>五级量表</x:v>
      </x:c>
      <x:c r="C444" s="13" t="str">
        <x:v>H1 组织领导与归口管理</x:v>
      </x:c>
      <x:c r="D444" s="2" t="str">
        <x:v>3分</x:v>
      </x:c>
      <x:c r="E444" s="11" t="n">
        <x:v>11</x:v>
      </x:c>
      <x:c r="F444" s="11" t="n">
        <x:v>162</x:v>
      </x:c>
      <x:c r="G444" s="12" t="n">
        <x:f>IF(F444=0,"n.a.",E444/F444)</x:f>
        <x:v>0.06790123456790123</x:v>
      </x:c>
      <x:c r="H444" s="13" t="str">
        <x:v>Q22高分=差距大；Q35高分=通道畅通；其余按题意</x:v>
      </x:c>
      <x:c r="I444" s="2" t="str">
        <x:v>数值版 Sheet1!EI2:EP163</x:v>
      </x:c>
    </x:row>
    <x:row r="445" ht="30" customHeight="1">
      <x:c r="A445" s="2" t="str">
        <x:v>Q32</x:v>
      </x:c>
      <x:c r="B445" s="2" t="str">
        <x:v>五级量表</x:v>
      </x:c>
      <x:c r="C445" s="13" t="str">
        <x:v>H1 组织领导与归口管理</x:v>
      </x:c>
      <x:c r="D445" s="2" t="str">
        <x:v>4分</x:v>
      </x:c>
      <x:c r="E445" s="11" t="n">
        <x:v>39</x:v>
      </x:c>
      <x:c r="F445" s="11" t="n">
        <x:v>162</x:v>
      </x:c>
      <x:c r="G445" s="12" t="n">
        <x:f>IF(F445=0,"n.a.",E445/F445)</x:f>
        <x:v>0.24074074074074073</x:v>
      </x:c>
      <x:c r="H445" s="13" t="str">
        <x:v>Q22高分=差距大；Q35高分=通道畅通；其余按题意</x:v>
      </x:c>
      <x:c r="I445" s="2" t="str">
        <x:v>数值版 Sheet1!EI2:EP163</x:v>
      </x:c>
    </x:row>
    <x:row r="446" ht="30" customHeight="1">
      <x:c r="A446" s="2" t="str">
        <x:v>Q32</x:v>
      </x:c>
      <x:c r="B446" s="2" t="str">
        <x:v>五级量表</x:v>
      </x:c>
      <x:c r="C446" s="13" t="str">
        <x:v>H1 组织领导与归口管理</x:v>
      </x:c>
      <x:c r="D446" s="2" t="str">
        <x:v>5分</x:v>
      </x:c>
      <x:c r="E446" s="11" t="n">
        <x:v>110</x:v>
      </x:c>
      <x:c r="F446" s="11" t="n">
        <x:v>162</x:v>
      </x:c>
      <x:c r="G446" s="12" t="n">
        <x:f>IF(F446=0,"n.a.",E446/F446)</x:f>
        <x:v>0.6790123456790124</x:v>
      </x:c>
      <x:c r="H446" s="13" t="str">
        <x:v>Q22高分=差距大；Q35高分=通道畅通；其余按题意</x:v>
      </x:c>
      <x:c r="I446" s="2" t="str">
        <x:v>数值版 Sheet1!EI2:EP163</x:v>
      </x:c>
    </x:row>
    <x:row r="447" ht="30" customHeight="1">
      <x:c r="A447" s="2" t="str">
        <x:v>Q32</x:v>
      </x:c>
      <x:c r="B447" s="2" t="str">
        <x:v>五级量表</x:v>
      </x:c>
      <x:c r="C447" s="13" t="str">
        <x:v>H2 岗位设置与总会计师制度落实</x:v>
      </x:c>
      <x:c r="D447" s="2" t="str">
        <x:v>1分</x:v>
      </x:c>
      <x:c r="E447" s="11" t="n">
        <x:v>1</x:v>
      </x:c>
      <x:c r="F447" s="11" t="n">
        <x:v>162</x:v>
      </x:c>
      <x:c r="G447" s="12" t="n">
        <x:f>IF(F447=0,"n.a.",E447/F447)</x:f>
        <x:v>0.006172839506172839</x:v>
      </x:c>
      <x:c r="H447" s="13" t="str">
        <x:v>Q22高分=差距大；Q35高分=通道畅通；其余按题意</x:v>
      </x:c>
      <x:c r="I447" s="2" t="str">
        <x:v>数值版 Sheet1!EI2:EP163</x:v>
      </x:c>
    </x:row>
    <x:row r="448" ht="30" customHeight="1">
      <x:c r="A448" s="2" t="str">
        <x:v>Q32</x:v>
      </x:c>
      <x:c r="B448" s="2" t="str">
        <x:v>五级量表</x:v>
      </x:c>
      <x:c r="C448" s="13" t="str">
        <x:v>H2 岗位设置与总会计师制度落实</x:v>
      </x:c>
      <x:c r="D448" s="2" t="str">
        <x:v>2分</x:v>
      </x:c>
      <x:c r="E448" s="11" t="n">
        <x:v>1</x:v>
      </x:c>
      <x:c r="F448" s="11" t="n">
        <x:v>162</x:v>
      </x:c>
      <x:c r="G448" s="12" t="n">
        <x:f>IF(F448=0,"n.a.",E448/F448)</x:f>
        <x:v>0.006172839506172839</x:v>
      </x:c>
      <x:c r="H448" s="13" t="str">
        <x:v>Q22高分=差距大；Q35高分=通道畅通；其余按题意</x:v>
      </x:c>
      <x:c r="I448" s="2" t="str">
        <x:v>数值版 Sheet1!EI2:EP163</x:v>
      </x:c>
    </x:row>
    <x:row r="449" ht="30" customHeight="1">
      <x:c r="A449" s="2" t="str">
        <x:v>Q32</x:v>
      </x:c>
      <x:c r="B449" s="2" t="str">
        <x:v>五级量表</x:v>
      </x:c>
      <x:c r="C449" s="13" t="str">
        <x:v>H2 岗位设置与总会计师制度落实</x:v>
      </x:c>
      <x:c r="D449" s="2" t="str">
        <x:v>3分</x:v>
      </x:c>
      <x:c r="E449" s="11" t="n">
        <x:v>17</x:v>
      </x:c>
      <x:c r="F449" s="11" t="n">
        <x:v>162</x:v>
      </x:c>
      <x:c r="G449" s="12" t="n">
        <x:f>IF(F449=0,"n.a.",E449/F449)</x:f>
        <x:v>0.10493827160493827</x:v>
      </x:c>
      <x:c r="H449" s="13" t="str">
        <x:v>Q22高分=差距大；Q35高分=通道畅通；其余按题意</x:v>
      </x:c>
      <x:c r="I449" s="2" t="str">
        <x:v>数值版 Sheet1!EI2:EP163</x:v>
      </x:c>
    </x:row>
    <x:row r="450" ht="30" customHeight="1">
      <x:c r="A450" s="2" t="str">
        <x:v>Q32</x:v>
      </x:c>
      <x:c r="B450" s="2" t="str">
        <x:v>五级量表</x:v>
      </x:c>
      <x:c r="C450" s="13" t="str">
        <x:v>H2 岗位设置与总会计师制度落实</x:v>
      </x:c>
      <x:c r="D450" s="2" t="str">
        <x:v>4分</x:v>
      </x:c>
      <x:c r="E450" s="11" t="n">
        <x:v>47</x:v>
      </x:c>
      <x:c r="F450" s="11" t="n">
        <x:v>162</x:v>
      </x:c>
      <x:c r="G450" s="12" t="n">
        <x:f>IF(F450=0,"n.a.",E450/F450)</x:f>
        <x:v>0.29012345679012347</x:v>
      </x:c>
      <x:c r="H450" s="13" t="str">
        <x:v>Q22高分=差距大；Q35高分=通道畅通；其余按题意</x:v>
      </x:c>
      <x:c r="I450" s="2" t="str">
        <x:v>数值版 Sheet1!EI2:EP163</x:v>
      </x:c>
    </x:row>
    <x:row r="451" ht="30" customHeight="1">
      <x:c r="A451" s="2" t="str">
        <x:v>Q32</x:v>
      </x:c>
      <x:c r="B451" s="2" t="str">
        <x:v>五级量表</x:v>
      </x:c>
      <x:c r="C451" s="13" t="str">
        <x:v>H2 岗位设置与总会计师制度落实</x:v>
      </x:c>
      <x:c r="D451" s="2" t="str">
        <x:v>5分</x:v>
      </x:c>
      <x:c r="E451" s="11" t="n">
        <x:v>96</x:v>
      </x:c>
      <x:c r="F451" s="11" t="n">
        <x:v>162</x:v>
      </x:c>
      <x:c r="G451" s="12" t="n">
        <x:f>IF(F451=0,"n.a.",E451/F451)</x:f>
        <x:v>0.5925925925925926</x:v>
      </x:c>
      <x:c r="H451" s="13" t="str">
        <x:v>Q22高分=差距大；Q35高分=通道畅通；其余按题意</x:v>
      </x:c>
      <x:c r="I451" s="2" t="str">
        <x:v>数值版 Sheet1!EI2:EP163</x:v>
      </x:c>
    </x:row>
    <x:row r="452" ht="30" customHeight="1">
      <x:c r="A452" s="2" t="str">
        <x:v>Q32</x:v>
      </x:c>
      <x:c r="B452" s="2" t="str">
        <x:v>五级量表</x:v>
      </x:c>
      <x:c r="C452" s="13" t="str">
        <x:v>H3 师资队伍建设（双师型、行业导师库）</x:v>
      </x:c>
      <x:c r="D452" s="2" t="str">
        <x:v>1分</x:v>
      </x:c>
      <x:c r="E452" s="11" t="n">
        <x:v>0</x:v>
      </x:c>
      <x:c r="F452" s="11" t="n">
        <x:v>162</x:v>
      </x:c>
      <x:c r="G452" s="12" t="n">
        <x:f>IF(F452=0,"n.a.",E452/F452)</x:f>
        <x:v>0</x:v>
      </x:c>
      <x:c r="H452" s="13" t="str">
        <x:v>Q22高分=差距大；Q35高分=通道畅通；其余按题意</x:v>
      </x:c>
      <x:c r="I452" s="2" t="str">
        <x:v>数值版 Sheet1!EI2:EP163</x:v>
      </x:c>
    </x:row>
    <x:row r="453" ht="30" customHeight="1">
      <x:c r="A453" s="2" t="str">
        <x:v>Q32</x:v>
      </x:c>
      <x:c r="B453" s="2" t="str">
        <x:v>五级量表</x:v>
      </x:c>
      <x:c r="C453" s="13" t="str">
        <x:v>H3 师资队伍建设（双师型、行业导师库）</x:v>
      </x:c>
      <x:c r="D453" s="2" t="str">
        <x:v>2分</x:v>
      </x:c>
      <x:c r="E453" s="11" t="n">
        <x:v>5</x:v>
      </x:c>
      <x:c r="F453" s="11" t="n">
        <x:v>162</x:v>
      </x:c>
      <x:c r="G453" s="12" t="n">
        <x:f>IF(F453=0,"n.a.",E453/F453)</x:f>
        <x:v>0.030864197530864196</x:v>
      </x:c>
      <x:c r="H453" s="13" t="str">
        <x:v>Q22高分=差距大；Q35高分=通道畅通；其余按题意</x:v>
      </x:c>
      <x:c r="I453" s="2" t="str">
        <x:v>数值版 Sheet1!EI2:EP163</x:v>
      </x:c>
    </x:row>
    <x:row r="454" ht="30" customHeight="1">
      <x:c r="A454" s="2" t="str">
        <x:v>Q32</x:v>
      </x:c>
      <x:c r="B454" s="2" t="str">
        <x:v>五级量表</x:v>
      </x:c>
      <x:c r="C454" s="13" t="str">
        <x:v>H3 师资队伍建设（双师型、行业导师库）</x:v>
      </x:c>
      <x:c r="D454" s="2" t="str">
        <x:v>3分</x:v>
      </x:c>
      <x:c r="E454" s="11" t="n">
        <x:v>20</x:v>
      </x:c>
      <x:c r="F454" s="11" t="n">
        <x:v>162</x:v>
      </x:c>
      <x:c r="G454" s="12" t="n">
        <x:f>IF(F454=0,"n.a.",E454/F454)</x:f>
        <x:v>0.12345679012345678</x:v>
      </x:c>
      <x:c r="H454" s="13" t="str">
        <x:v>Q22高分=差距大；Q35高分=通道畅通；其余按题意</x:v>
      </x:c>
      <x:c r="I454" s="2" t="str">
        <x:v>数值版 Sheet1!EI2:EP163</x:v>
      </x:c>
    </x:row>
    <x:row r="455" ht="30" customHeight="1">
      <x:c r="A455" s="2" t="str">
        <x:v>Q32</x:v>
      </x:c>
      <x:c r="B455" s="2" t="str">
        <x:v>五级量表</x:v>
      </x:c>
      <x:c r="C455" s="13" t="str">
        <x:v>H3 师资队伍建设（双师型、行业导师库）</x:v>
      </x:c>
      <x:c r="D455" s="2" t="str">
        <x:v>4分</x:v>
      </x:c>
      <x:c r="E455" s="11" t="n">
        <x:v>60</x:v>
      </x:c>
      <x:c r="F455" s="11" t="n">
        <x:v>162</x:v>
      </x:c>
      <x:c r="G455" s="12" t="n">
        <x:f>IF(F455=0,"n.a.",E455/F455)</x:f>
        <x:v>0.37037037037037035</x:v>
      </x:c>
      <x:c r="H455" s="13" t="str">
        <x:v>Q22高分=差距大；Q35高分=通道畅通；其余按题意</x:v>
      </x:c>
      <x:c r="I455" s="2" t="str">
        <x:v>数值版 Sheet1!EI2:EP163</x:v>
      </x:c>
    </x:row>
    <x:row r="456" ht="30" customHeight="1">
      <x:c r="A456" s="2" t="str">
        <x:v>Q32</x:v>
      </x:c>
      <x:c r="B456" s="2" t="str">
        <x:v>五级量表</x:v>
      </x:c>
      <x:c r="C456" s="13" t="str">
        <x:v>H3 师资队伍建设（双师型、行业导师库）</x:v>
      </x:c>
      <x:c r="D456" s="2" t="str">
        <x:v>5分</x:v>
      </x:c>
      <x:c r="E456" s="11" t="n">
        <x:v>77</x:v>
      </x:c>
      <x:c r="F456" s="11" t="n">
        <x:v>162</x:v>
      </x:c>
      <x:c r="G456" s="12" t="n">
        <x:f>IF(F456=0,"n.a.",E456/F456)</x:f>
        <x:v>0.47530864197530864</x:v>
      </x:c>
      <x:c r="H456" s="13" t="str">
        <x:v>Q22高分=差距大；Q35高分=通道畅通；其余按题意</x:v>
      </x:c>
      <x:c r="I456" s="2" t="str">
        <x:v>数值版 Sheet1!EI2:EP163</x:v>
      </x:c>
    </x:row>
    <x:row r="457" ht="30" customHeight="1">
      <x:c r="A457" s="2" t="str">
        <x:v>Q32</x:v>
      </x:c>
      <x:c r="B457" s="2" t="str">
        <x:v>五级量表</x:v>
      </x:c>
      <x:c r="C457" s="13" t="str">
        <x:v>H4 经费投入保障</x:v>
      </x:c>
      <x:c r="D457" s="2" t="str">
        <x:v>1分</x:v>
      </x:c>
      <x:c r="E457" s="11" t="n">
        <x:v>0</x:v>
      </x:c>
      <x:c r="F457" s="11" t="n">
        <x:v>162</x:v>
      </x:c>
      <x:c r="G457" s="12" t="n">
        <x:f>IF(F457=0,"n.a.",E457/F457)</x:f>
        <x:v>0</x:v>
      </x:c>
      <x:c r="H457" s="13" t="str">
        <x:v>Q22高分=差距大；Q35高分=通道畅通；其余按题意</x:v>
      </x:c>
      <x:c r="I457" s="2" t="str">
        <x:v>数值版 Sheet1!EI2:EP163</x:v>
      </x:c>
    </x:row>
    <x:row r="458" ht="30" customHeight="1">
      <x:c r="A458" s="2" t="str">
        <x:v>Q32</x:v>
      </x:c>
      <x:c r="B458" s="2" t="str">
        <x:v>五级量表</x:v>
      </x:c>
      <x:c r="C458" s="13" t="str">
        <x:v>H4 经费投入保障</x:v>
      </x:c>
      <x:c r="D458" s="2" t="str">
        <x:v>2分</x:v>
      </x:c>
      <x:c r="E458" s="11" t="n">
        <x:v>3</x:v>
      </x:c>
      <x:c r="F458" s="11" t="n">
        <x:v>162</x:v>
      </x:c>
      <x:c r="G458" s="12" t="n">
        <x:f>IF(F458=0,"n.a.",E458/F458)</x:f>
        <x:v>0.018518518518518517</x:v>
      </x:c>
      <x:c r="H458" s="13" t="str">
        <x:v>Q22高分=差距大；Q35高分=通道畅通；其余按题意</x:v>
      </x:c>
      <x:c r="I458" s="2" t="str">
        <x:v>数值版 Sheet1!EI2:EP163</x:v>
      </x:c>
    </x:row>
    <x:row r="459" ht="30" customHeight="1">
      <x:c r="A459" s="2" t="str">
        <x:v>Q32</x:v>
      </x:c>
      <x:c r="B459" s="2" t="str">
        <x:v>五级量表</x:v>
      </x:c>
      <x:c r="C459" s="13" t="str">
        <x:v>H4 经费投入保障</x:v>
      </x:c>
      <x:c r="D459" s="2" t="str">
        <x:v>3分</x:v>
      </x:c>
      <x:c r="E459" s="11" t="n">
        <x:v>8</x:v>
      </x:c>
      <x:c r="F459" s="11" t="n">
        <x:v>162</x:v>
      </x:c>
      <x:c r="G459" s="12" t="n">
        <x:f>IF(F459=0,"n.a.",E459/F459)</x:f>
        <x:v>0.04938271604938271</x:v>
      </x:c>
      <x:c r="H459" s="13" t="str">
        <x:v>Q22高分=差距大；Q35高分=通道畅通；其余按题意</x:v>
      </x:c>
      <x:c r="I459" s="2" t="str">
        <x:v>数值版 Sheet1!EI2:EP163</x:v>
      </x:c>
    </x:row>
    <x:row r="460" ht="30" customHeight="1">
      <x:c r="A460" s="2" t="str">
        <x:v>Q32</x:v>
      </x:c>
      <x:c r="B460" s="2" t="str">
        <x:v>五级量表</x:v>
      </x:c>
      <x:c r="C460" s="13" t="str">
        <x:v>H4 经费投入保障</x:v>
      </x:c>
      <x:c r="D460" s="2" t="str">
        <x:v>4分</x:v>
      </x:c>
      <x:c r="E460" s="11" t="n">
        <x:v>47</x:v>
      </x:c>
      <x:c r="F460" s="11" t="n">
        <x:v>162</x:v>
      </x:c>
      <x:c r="G460" s="12" t="n">
        <x:f>IF(F460=0,"n.a.",E460/F460)</x:f>
        <x:v>0.29012345679012347</x:v>
      </x:c>
      <x:c r="H460" s="13" t="str">
        <x:v>Q22高分=差距大；Q35高分=通道畅通；其余按题意</x:v>
      </x:c>
      <x:c r="I460" s="2" t="str">
        <x:v>数值版 Sheet1!EI2:EP163</x:v>
      </x:c>
    </x:row>
    <x:row r="461" ht="30" customHeight="1">
      <x:c r="A461" s="2" t="str">
        <x:v>Q32</x:v>
      </x:c>
      <x:c r="B461" s="2" t="str">
        <x:v>五级量表</x:v>
      </x:c>
      <x:c r="C461" s="13" t="str">
        <x:v>H4 经费投入保障</x:v>
      </x:c>
      <x:c r="D461" s="2" t="str">
        <x:v>5分</x:v>
      </x:c>
      <x:c r="E461" s="11" t="n">
        <x:v>104</x:v>
      </x:c>
      <x:c r="F461" s="11" t="n">
        <x:v>162</x:v>
      </x:c>
      <x:c r="G461" s="12" t="n">
        <x:f>IF(F461=0,"n.a.",E461/F461)</x:f>
        <x:v>0.6419753086419753</x:v>
      </x:c>
      <x:c r="H461" s="13" t="str">
        <x:v>Q22高分=差距大；Q35高分=通道畅通；其余按题意</x:v>
      </x:c>
      <x:c r="I461" s="2" t="str">
        <x:v>数值版 Sheet1!EI2:EP163</x:v>
      </x:c>
    </x:row>
    <x:row r="462" ht="30" customHeight="1">
      <x:c r="A462" s="2" t="str">
        <x:v>Q32</x:v>
      </x:c>
      <x:c r="B462" s="2" t="str">
        <x:v>五级量表</x:v>
      </x:c>
      <x:c r="C462" s="13" t="str">
        <x:v>H5 考核激励与培训结果运用</x:v>
      </x:c>
      <x:c r="D462" s="2" t="str">
        <x:v>1分</x:v>
      </x:c>
      <x:c r="E462" s="11" t="n">
        <x:v>0</x:v>
      </x:c>
      <x:c r="F462" s="11" t="n">
        <x:v>162</x:v>
      </x:c>
      <x:c r="G462" s="12" t="n">
        <x:f>IF(F462=0,"n.a.",E462/F462)</x:f>
        <x:v>0</x:v>
      </x:c>
      <x:c r="H462" s="13" t="str">
        <x:v>Q22高分=差距大；Q35高分=通道畅通；其余按题意</x:v>
      </x:c>
      <x:c r="I462" s="2" t="str">
        <x:v>数值版 Sheet1!EI2:EP163</x:v>
      </x:c>
    </x:row>
    <x:row r="463" ht="30" customHeight="1">
      <x:c r="A463" s="2" t="str">
        <x:v>Q32</x:v>
      </x:c>
      <x:c r="B463" s="2" t="str">
        <x:v>五级量表</x:v>
      </x:c>
      <x:c r="C463" s="13" t="str">
        <x:v>H5 考核激励与培训结果运用</x:v>
      </x:c>
      <x:c r="D463" s="2" t="str">
        <x:v>2分</x:v>
      </x:c>
      <x:c r="E463" s="11" t="n">
        <x:v>2</x:v>
      </x:c>
      <x:c r="F463" s="11" t="n">
        <x:v>162</x:v>
      </x:c>
      <x:c r="G463" s="12" t="n">
        <x:f>IF(F463=0,"n.a.",E463/F463)</x:f>
        <x:v>0.012345679012345678</x:v>
      </x:c>
      <x:c r="H463" s="13" t="str">
        <x:v>Q22高分=差距大；Q35高分=通道畅通；其余按题意</x:v>
      </x:c>
      <x:c r="I463" s="2" t="str">
        <x:v>数值版 Sheet1!EI2:EP163</x:v>
      </x:c>
    </x:row>
    <x:row r="464" ht="30" customHeight="1">
      <x:c r="A464" s="2" t="str">
        <x:v>Q32</x:v>
      </x:c>
      <x:c r="B464" s="2" t="str">
        <x:v>五级量表</x:v>
      </x:c>
      <x:c r="C464" s="13" t="str">
        <x:v>H5 考核激励与培训结果运用</x:v>
      </x:c>
      <x:c r="D464" s="2" t="str">
        <x:v>3分</x:v>
      </x:c>
      <x:c r="E464" s="11" t="n">
        <x:v>8</x:v>
      </x:c>
      <x:c r="F464" s="11" t="n">
        <x:v>162</x:v>
      </x:c>
      <x:c r="G464" s="12" t="n">
        <x:f>IF(F464=0,"n.a.",E464/F464)</x:f>
        <x:v>0.04938271604938271</x:v>
      </x:c>
      <x:c r="H464" s="13" t="str">
        <x:v>Q22高分=差距大；Q35高分=通道畅通；其余按题意</x:v>
      </x:c>
      <x:c r="I464" s="2" t="str">
        <x:v>数值版 Sheet1!EI2:EP163</x:v>
      </x:c>
    </x:row>
    <x:row r="465" ht="30" customHeight="1">
      <x:c r="A465" s="2" t="str">
        <x:v>Q32</x:v>
      </x:c>
      <x:c r="B465" s="2" t="str">
        <x:v>五级量表</x:v>
      </x:c>
      <x:c r="C465" s="13" t="str">
        <x:v>H5 考核激励与培训结果运用</x:v>
      </x:c>
      <x:c r="D465" s="2" t="str">
        <x:v>4分</x:v>
      </x:c>
      <x:c r="E465" s="11" t="n">
        <x:v>44</x:v>
      </x:c>
      <x:c r="F465" s="11" t="n">
        <x:v>162</x:v>
      </x:c>
      <x:c r="G465" s="12" t="n">
        <x:f>IF(F465=0,"n.a.",E465/F465)</x:f>
        <x:v>0.2716049382716049</x:v>
      </x:c>
      <x:c r="H465" s="13" t="str">
        <x:v>Q22高分=差距大；Q35高分=通道畅通；其余按题意</x:v>
      </x:c>
      <x:c r="I465" s="2" t="str">
        <x:v>数值版 Sheet1!EI2:EP163</x:v>
      </x:c>
    </x:row>
    <x:row r="466" ht="30" customHeight="1">
      <x:c r="A466" s="2" t="str">
        <x:v>Q32</x:v>
      </x:c>
      <x:c r="B466" s="2" t="str">
        <x:v>五级量表</x:v>
      </x:c>
      <x:c r="C466" s="13" t="str">
        <x:v>H5 考核激励与培训结果运用</x:v>
      </x:c>
      <x:c r="D466" s="2" t="str">
        <x:v>5分</x:v>
      </x:c>
      <x:c r="E466" s="11" t="n">
        <x:v>108</x:v>
      </x:c>
      <x:c r="F466" s="11" t="n">
        <x:v>162</x:v>
      </x:c>
      <x:c r="G466" s="12" t="n">
        <x:f>IF(F466=0,"n.a.",E466/F466)</x:f>
        <x:v>0.6666666666666666</x:v>
      </x:c>
      <x:c r="H466" s="13" t="str">
        <x:v>Q22高分=差距大；Q35高分=通道畅通；其余按题意</x:v>
      </x:c>
      <x:c r="I466" s="2" t="str">
        <x:v>数值版 Sheet1!EI2:EP163</x:v>
      </x:c>
    </x:row>
    <x:row r="467" ht="30" customHeight="1">
      <x:c r="A467" s="2" t="str">
        <x:v>Q32</x:v>
      </x:c>
      <x:c r="B467" s="2" t="str">
        <x:v>五级量表</x:v>
      </x:c>
      <x:c r="C467" s="13" t="str">
        <x:v>H6 职业发展通道与职称晋升衔接</x:v>
      </x:c>
      <x:c r="D467" s="2" t="str">
        <x:v>1分</x:v>
      </x:c>
      <x:c r="E467" s="11" t="n">
        <x:v>0</x:v>
      </x:c>
      <x:c r="F467" s="11" t="n">
        <x:v>162</x:v>
      </x:c>
      <x:c r="G467" s="12" t="n">
        <x:f>IF(F467=0,"n.a.",E467/F467)</x:f>
        <x:v>0</x:v>
      </x:c>
      <x:c r="H467" s="13" t="str">
        <x:v>Q22高分=差距大；Q35高分=通道畅通；其余按题意</x:v>
      </x:c>
      <x:c r="I467" s="2" t="str">
        <x:v>数值版 Sheet1!EI2:EP163</x:v>
      </x:c>
    </x:row>
    <x:row r="468" ht="30" customHeight="1">
      <x:c r="A468" s="2" t="str">
        <x:v>Q32</x:v>
      </x:c>
      <x:c r="B468" s="2" t="str">
        <x:v>五级量表</x:v>
      </x:c>
      <x:c r="C468" s="13" t="str">
        <x:v>H6 职业发展通道与职称晋升衔接</x:v>
      </x:c>
      <x:c r="D468" s="2" t="str">
        <x:v>2分</x:v>
      </x:c>
      <x:c r="E468" s="11" t="n">
        <x:v>2</x:v>
      </x:c>
      <x:c r="F468" s="11" t="n">
        <x:v>162</x:v>
      </x:c>
      <x:c r="G468" s="12" t="n">
        <x:f>IF(F468=0,"n.a.",E468/F468)</x:f>
        <x:v>0.012345679012345678</x:v>
      </x:c>
      <x:c r="H468" s="13" t="str">
        <x:v>Q22高分=差距大；Q35高分=通道畅通；其余按题意</x:v>
      </x:c>
      <x:c r="I468" s="2" t="str">
        <x:v>数值版 Sheet1!EI2:EP163</x:v>
      </x:c>
    </x:row>
    <x:row r="469" ht="30" customHeight="1">
      <x:c r="A469" s="2" t="str">
        <x:v>Q32</x:v>
      </x:c>
      <x:c r="B469" s="2" t="str">
        <x:v>五级量表</x:v>
      </x:c>
      <x:c r="C469" s="13" t="str">
        <x:v>H6 职业发展通道与职称晋升衔接</x:v>
      </x:c>
      <x:c r="D469" s="2" t="str">
        <x:v>3分</x:v>
      </x:c>
      <x:c r="E469" s="11" t="n">
        <x:v>5</x:v>
      </x:c>
      <x:c r="F469" s="11" t="n">
        <x:v>162</x:v>
      </x:c>
      <x:c r="G469" s="12" t="n">
        <x:f>IF(F469=0,"n.a.",E469/F469)</x:f>
        <x:v>0.030864197530864196</x:v>
      </x:c>
      <x:c r="H469" s="13" t="str">
        <x:v>Q22高分=差距大；Q35高分=通道畅通；其余按题意</x:v>
      </x:c>
      <x:c r="I469" s="2" t="str">
        <x:v>数值版 Sheet1!EI2:EP163</x:v>
      </x:c>
    </x:row>
    <x:row r="470" ht="30" customHeight="1">
      <x:c r="A470" s="2" t="str">
        <x:v>Q32</x:v>
      </x:c>
      <x:c r="B470" s="2" t="str">
        <x:v>五级量表</x:v>
      </x:c>
      <x:c r="C470" s="13" t="str">
        <x:v>H6 职业发展通道与职称晋升衔接</x:v>
      </x:c>
      <x:c r="D470" s="2" t="str">
        <x:v>4分</x:v>
      </x:c>
      <x:c r="E470" s="11" t="n">
        <x:v>41</x:v>
      </x:c>
      <x:c r="F470" s="11" t="n">
        <x:v>162</x:v>
      </x:c>
      <x:c r="G470" s="12" t="n">
        <x:f>IF(F470=0,"n.a.",E470/F470)</x:f>
        <x:v>0.25308641975308643</x:v>
      </x:c>
      <x:c r="H470" s="13" t="str">
        <x:v>Q22高分=差距大；Q35高分=通道畅通；其余按题意</x:v>
      </x:c>
      <x:c r="I470" s="2" t="str">
        <x:v>数值版 Sheet1!EI2:EP163</x:v>
      </x:c>
    </x:row>
    <x:row r="471" ht="30" customHeight="1">
      <x:c r="A471" s="2" t="str">
        <x:v>Q32</x:v>
      </x:c>
      <x:c r="B471" s="2" t="str">
        <x:v>五级量表</x:v>
      </x:c>
      <x:c r="C471" s="13" t="str">
        <x:v>H6 职业发展通道与职称晋升衔接</x:v>
      </x:c>
      <x:c r="D471" s="2" t="str">
        <x:v>5分</x:v>
      </x:c>
      <x:c r="E471" s="11" t="n">
        <x:v>114</x:v>
      </x:c>
      <x:c r="F471" s="11" t="n">
        <x:v>162</x:v>
      </x:c>
      <x:c r="G471" s="12" t="n">
        <x:f>IF(F471=0,"n.a.",E471/F471)</x:f>
        <x:v>0.7037037037037037</x:v>
      </x:c>
      <x:c r="H471" s="13" t="str">
        <x:v>Q22高分=差距大；Q35高分=通道畅通；其余按题意</x:v>
      </x:c>
      <x:c r="I471" s="2" t="str">
        <x:v>数值版 Sheet1!EI2:EP163</x:v>
      </x:c>
    </x:row>
    <x:row r="472" ht="30" customHeight="1">
      <x:c r="A472" s="2" t="str">
        <x:v>Q32</x:v>
      </x:c>
      <x:c r="B472" s="2" t="str">
        <x:v>五级量表</x:v>
      </x:c>
      <x:c r="C472" s="13" t="str">
        <x:v>H7 学习时间保障与安排</x:v>
      </x:c>
      <x:c r="D472" s="2" t="str">
        <x:v>1分</x:v>
      </x:c>
      <x:c r="E472" s="11" t="n">
        <x:v>0</x:v>
      </x:c>
      <x:c r="F472" s="11" t="n">
        <x:v>162</x:v>
      </x:c>
      <x:c r="G472" s="12" t="n">
        <x:f>IF(F472=0,"n.a.",E472/F472)</x:f>
        <x:v>0</x:v>
      </x:c>
      <x:c r="H472" s="13" t="str">
        <x:v>Q22高分=差距大；Q35高分=通道畅通；其余按题意</x:v>
      </x:c>
      <x:c r="I472" s="2" t="str">
        <x:v>数值版 Sheet1!EI2:EP163</x:v>
      </x:c>
    </x:row>
    <x:row r="473" ht="30" customHeight="1">
      <x:c r="A473" s="2" t="str">
        <x:v>Q32</x:v>
      </x:c>
      <x:c r="B473" s="2" t="str">
        <x:v>五级量表</x:v>
      </x:c>
      <x:c r="C473" s="13" t="str">
        <x:v>H7 学习时间保障与安排</x:v>
      </x:c>
      <x:c r="D473" s="2" t="str">
        <x:v>2分</x:v>
      </x:c>
      <x:c r="E473" s="11" t="n">
        <x:v>2</x:v>
      </x:c>
      <x:c r="F473" s="11" t="n">
        <x:v>162</x:v>
      </x:c>
      <x:c r="G473" s="12" t="n">
        <x:f>IF(F473=0,"n.a.",E473/F473)</x:f>
        <x:v>0.012345679012345678</x:v>
      </x:c>
      <x:c r="H473" s="13" t="str">
        <x:v>Q22高分=差距大；Q35高分=通道畅通；其余按题意</x:v>
      </x:c>
      <x:c r="I473" s="2" t="str">
        <x:v>数值版 Sheet1!EI2:EP163</x:v>
      </x:c>
    </x:row>
    <x:row r="474" ht="30" customHeight="1">
      <x:c r="A474" s="2" t="str">
        <x:v>Q32</x:v>
      </x:c>
      <x:c r="B474" s="2" t="str">
        <x:v>五级量表</x:v>
      </x:c>
      <x:c r="C474" s="13" t="str">
        <x:v>H7 学习时间保障与安排</x:v>
      </x:c>
      <x:c r="D474" s="2" t="str">
        <x:v>3分</x:v>
      </x:c>
      <x:c r="E474" s="11" t="n">
        <x:v>13</x:v>
      </x:c>
      <x:c r="F474" s="11" t="n">
        <x:v>162</x:v>
      </x:c>
      <x:c r="G474" s="12" t="n">
        <x:f>IF(F474=0,"n.a.",E474/F474)</x:f>
        <x:v>0.08024691358024691</x:v>
      </x:c>
      <x:c r="H474" s="13" t="str">
        <x:v>Q22高分=差距大；Q35高分=通道畅通；其余按题意</x:v>
      </x:c>
      <x:c r="I474" s="2" t="str">
        <x:v>数值版 Sheet1!EI2:EP163</x:v>
      </x:c>
    </x:row>
    <x:row r="475" ht="30" customHeight="1">
      <x:c r="A475" s="2" t="str">
        <x:v>Q32</x:v>
      </x:c>
      <x:c r="B475" s="2" t="str">
        <x:v>五级量表</x:v>
      </x:c>
      <x:c r="C475" s="13" t="str">
        <x:v>H7 学习时间保障与安排</x:v>
      </x:c>
      <x:c r="D475" s="2" t="str">
        <x:v>4分</x:v>
      </x:c>
      <x:c r="E475" s="11" t="n">
        <x:v>46</x:v>
      </x:c>
      <x:c r="F475" s="11" t="n">
        <x:v>162</x:v>
      </x:c>
      <x:c r="G475" s="12" t="n">
        <x:f>IF(F475=0,"n.a.",E475/F475)</x:f>
        <x:v>0.2839506172839506</x:v>
      </x:c>
      <x:c r="H475" s="13" t="str">
        <x:v>Q22高分=差距大；Q35高分=通道畅通；其余按题意</x:v>
      </x:c>
      <x:c r="I475" s="2" t="str">
        <x:v>数值版 Sheet1!EI2:EP163</x:v>
      </x:c>
    </x:row>
    <x:row r="476" ht="30" customHeight="1">
      <x:c r="A476" s="2" t="str">
        <x:v>Q32</x:v>
      </x:c>
      <x:c r="B476" s="2" t="str">
        <x:v>五级量表</x:v>
      </x:c>
      <x:c r="C476" s="13" t="str">
        <x:v>H7 学习时间保障与安排</x:v>
      </x:c>
      <x:c r="D476" s="2" t="str">
        <x:v>5分</x:v>
      </x:c>
      <x:c r="E476" s="11" t="n">
        <x:v>101</x:v>
      </x:c>
      <x:c r="F476" s="11" t="n">
        <x:v>162</x:v>
      </x:c>
      <x:c r="G476" s="12" t="n">
        <x:f>IF(F476=0,"n.a.",E476/F476)</x:f>
        <x:v>0.6234567901234568</x:v>
      </x:c>
      <x:c r="H476" s="13" t="str">
        <x:v>Q22高分=差距大；Q35高分=通道畅通；其余按题意</x:v>
      </x:c>
      <x:c r="I476" s="2" t="str">
        <x:v>数值版 Sheet1!EI2:EP163</x:v>
      </x:c>
    </x:row>
    <x:row r="477" ht="30" customHeight="1">
      <x:c r="A477" s="2" t="str">
        <x:v>Q32</x:v>
      </x:c>
      <x:c r="B477" s="2" t="str">
        <x:v>五级量表</x:v>
      </x:c>
      <x:c r="C477" s="13" t="str">
        <x:v>H8 信息化学习平台与培训档案管理</x:v>
      </x:c>
      <x:c r="D477" s="2" t="str">
        <x:v>1分</x:v>
      </x:c>
      <x:c r="E477" s="11" t="n">
        <x:v>0</x:v>
      </x:c>
      <x:c r="F477" s="11" t="n">
        <x:v>162</x:v>
      </x:c>
      <x:c r="G477" s="12" t="n">
        <x:f>IF(F477=0,"n.a.",E477/F477)</x:f>
        <x:v>0</x:v>
      </x:c>
      <x:c r="H477" s="13" t="str">
        <x:v>Q22高分=差距大；Q35高分=通道畅通；其余按题意</x:v>
      </x:c>
      <x:c r="I477" s="2" t="str">
        <x:v>数值版 Sheet1!EI2:EP163</x:v>
      </x:c>
    </x:row>
    <x:row r="478" ht="30" customHeight="1">
      <x:c r="A478" s="2" t="str">
        <x:v>Q32</x:v>
      </x:c>
      <x:c r="B478" s="2" t="str">
        <x:v>五级量表</x:v>
      </x:c>
      <x:c r="C478" s="13" t="str">
        <x:v>H8 信息化学习平台与培训档案管理</x:v>
      </x:c>
      <x:c r="D478" s="2" t="str">
        <x:v>2分</x:v>
      </x:c>
      <x:c r="E478" s="11" t="n">
        <x:v>2</x:v>
      </x:c>
      <x:c r="F478" s="11" t="n">
        <x:v>162</x:v>
      </x:c>
      <x:c r="G478" s="12" t="n">
        <x:f>IF(F478=0,"n.a.",E478/F478)</x:f>
        <x:v>0.012345679012345678</x:v>
      </x:c>
      <x:c r="H478" s="13" t="str">
        <x:v>Q22高分=差距大；Q35高分=通道畅通；其余按题意</x:v>
      </x:c>
      <x:c r="I478" s="2" t="str">
        <x:v>数值版 Sheet1!EI2:EP163</x:v>
      </x:c>
    </x:row>
    <x:row r="479" ht="30" customHeight="1">
      <x:c r="A479" s="2" t="str">
        <x:v>Q32</x:v>
      </x:c>
      <x:c r="B479" s="2" t="str">
        <x:v>五级量表</x:v>
      </x:c>
      <x:c r="C479" s="13" t="str">
        <x:v>H8 信息化学习平台与培训档案管理</x:v>
      </x:c>
      <x:c r="D479" s="2" t="str">
        <x:v>3分</x:v>
      </x:c>
      <x:c r="E479" s="11" t="n">
        <x:v>26</x:v>
      </x:c>
      <x:c r="F479" s="11" t="n">
        <x:v>162</x:v>
      </x:c>
      <x:c r="G479" s="12" t="n">
        <x:f>IF(F479=0,"n.a.",E479/F479)</x:f>
        <x:v>0.16049382716049382</x:v>
      </x:c>
      <x:c r="H479" s="13" t="str">
        <x:v>Q22高分=差距大；Q35高分=通道畅通；其余按题意</x:v>
      </x:c>
      <x:c r="I479" s="2" t="str">
        <x:v>数值版 Sheet1!EI2:EP163</x:v>
      </x:c>
    </x:row>
    <x:row r="480" ht="30" customHeight="1">
      <x:c r="A480" s="2" t="str">
        <x:v>Q32</x:v>
      </x:c>
      <x:c r="B480" s="2" t="str">
        <x:v>五级量表</x:v>
      </x:c>
      <x:c r="C480" s="13" t="str">
        <x:v>H8 信息化学习平台与培训档案管理</x:v>
      </x:c>
      <x:c r="D480" s="2" t="str">
        <x:v>4分</x:v>
      </x:c>
      <x:c r="E480" s="11" t="n">
        <x:v>61</x:v>
      </x:c>
      <x:c r="F480" s="11" t="n">
        <x:v>162</x:v>
      </x:c>
      <x:c r="G480" s="12" t="n">
        <x:f>IF(F480=0,"n.a.",E480/F480)</x:f>
        <x:v>0.3765432098765432</x:v>
      </x:c>
      <x:c r="H480" s="13" t="str">
        <x:v>Q22高分=差距大；Q35高分=通道畅通；其余按题意</x:v>
      </x:c>
      <x:c r="I480" s="2" t="str">
        <x:v>数值版 Sheet1!EI2:EP163</x:v>
      </x:c>
    </x:row>
    <x:row r="481" ht="30" customHeight="1">
      <x:c r="A481" s="2" t="str">
        <x:v>Q32</x:v>
      </x:c>
      <x:c r="B481" s="2" t="str">
        <x:v>五级量表</x:v>
      </x:c>
      <x:c r="C481" s="13" t="str">
        <x:v>H8 信息化学习平台与培训档案管理</x:v>
      </x:c>
      <x:c r="D481" s="2" t="str">
        <x:v>5分</x:v>
      </x:c>
      <x:c r="E481" s="11" t="n">
        <x:v>73</x:v>
      </x:c>
      <x:c r="F481" s="11" t="n">
        <x:v>162</x:v>
      </x:c>
      <x:c r="G481" s="12" t="n">
        <x:f>IF(F481=0,"n.a.",E481/F481)</x:f>
        <x:v>0.4506172839506173</x:v>
      </x:c>
      <x:c r="H481" s="13" t="str">
        <x:v>Q22高分=差距大；Q35高分=通道畅通；其余按题意</x:v>
      </x:c>
      <x:c r="I481" s="2" t="str">
        <x:v>数值版 Sheet1!EI2:EP163</x:v>
      </x:c>
    </x:row>
    <x:row r="482" ht="30" customHeight="1">
      <x:c r="A482" s="2" t="str">
        <x:v>Q33</x:v>
      </x:c>
      <x:c r="B482" s="2" t="str">
        <x:v>五级量表</x:v>
      </x:c>
      <x:c r="C482" s="13" t="str">
        <x:v>I1 建立分层分类培训体系</x:v>
      </x:c>
      <x:c r="D482" s="2" t="str">
        <x:v>1分</x:v>
      </x:c>
      <x:c r="E482" s="11" t="n">
        <x:v>0</x:v>
      </x:c>
      <x:c r="F482" s="11" t="n">
        <x:v>162</x:v>
      </x:c>
      <x:c r="G482" s="12" t="n">
        <x:f>IF(F482=0,"n.a.",E482/F482)</x:f>
        <x:v>0</x:v>
      </x:c>
      <x:c r="H482" s="13" t="str">
        <x:v>Q22高分=差距大；Q35高分=通道畅通；其余按题意</x:v>
      </x:c>
      <x:c r="I482" s="2" t="str">
        <x:v>数值版 Sheet1!EQ2:EU163</x:v>
      </x:c>
    </x:row>
    <x:row r="483" ht="30" customHeight="1">
      <x:c r="A483" s="2" t="str">
        <x:v>Q33</x:v>
      </x:c>
      <x:c r="B483" s="2" t="str">
        <x:v>五级量表</x:v>
      </x:c>
      <x:c r="C483" s="13" t="str">
        <x:v>I1 建立分层分类培训体系</x:v>
      </x:c>
      <x:c r="D483" s="2" t="str">
        <x:v>2分</x:v>
      </x:c>
      <x:c r="E483" s="11" t="n">
        <x:v>1</x:v>
      </x:c>
      <x:c r="F483" s="11" t="n">
        <x:v>162</x:v>
      </x:c>
      <x:c r="G483" s="12" t="n">
        <x:f>IF(F483=0,"n.a.",E483/F483)</x:f>
        <x:v>0.006172839506172839</x:v>
      </x:c>
      <x:c r="H483" s="13" t="str">
        <x:v>Q22高分=差距大；Q35高分=通道畅通；其余按题意</x:v>
      </x:c>
      <x:c r="I483" s="2" t="str">
        <x:v>数值版 Sheet1!EQ2:EU163</x:v>
      </x:c>
    </x:row>
    <x:row r="484" ht="30" customHeight="1">
      <x:c r="A484" s="2" t="str">
        <x:v>Q33</x:v>
      </x:c>
      <x:c r="B484" s="2" t="str">
        <x:v>五级量表</x:v>
      </x:c>
      <x:c r="C484" s="13" t="str">
        <x:v>I1 建立分层分类培训体系</x:v>
      </x:c>
      <x:c r="D484" s="2" t="str">
        <x:v>3分</x:v>
      </x:c>
      <x:c r="E484" s="11" t="n">
        <x:v>8</x:v>
      </x:c>
      <x:c r="F484" s="11" t="n">
        <x:v>162</x:v>
      </x:c>
      <x:c r="G484" s="12" t="n">
        <x:f>IF(F484=0,"n.a.",E484/F484)</x:f>
        <x:v>0.04938271604938271</x:v>
      </x:c>
      <x:c r="H484" s="13" t="str">
        <x:v>Q22高分=差距大；Q35高分=通道畅通；其余按题意</x:v>
      </x:c>
      <x:c r="I484" s="2" t="str">
        <x:v>数值版 Sheet1!EQ2:EU163</x:v>
      </x:c>
    </x:row>
    <x:row r="485" ht="30" customHeight="1">
      <x:c r="A485" s="2" t="str">
        <x:v>Q33</x:v>
      </x:c>
      <x:c r="B485" s="2" t="str">
        <x:v>五级量表</x:v>
      </x:c>
      <x:c r="C485" s="13" t="str">
        <x:v>I1 建立分层分类培训体系</x:v>
      </x:c>
      <x:c r="D485" s="2" t="str">
        <x:v>4分</x:v>
      </x:c>
      <x:c r="E485" s="11" t="n">
        <x:v>45</x:v>
      </x:c>
      <x:c r="F485" s="11" t="n">
        <x:v>162</x:v>
      </x:c>
      <x:c r="G485" s="12" t="n">
        <x:f>IF(F485=0,"n.a.",E485/F485)</x:f>
        <x:v>0.2777777777777778</x:v>
      </x:c>
      <x:c r="H485" s="13" t="str">
        <x:v>Q22高分=差距大；Q35高分=通道畅通；其余按题意</x:v>
      </x:c>
      <x:c r="I485" s="2" t="str">
        <x:v>数值版 Sheet1!EQ2:EU163</x:v>
      </x:c>
    </x:row>
    <x:row r="486" ht="30" customHeight="1">
      <x:c r="A486" s="2" t="str">
        <x:v>Q33</x:v>
      </x:c>
      <x:c r="B486" s="2" t="str">
        <x:v>五级量表</x:v>
      </x:c>
      <x:c r="C486" s="13" t="str">
        <x:v>I1 建立分层分类培训体系</x:v>
      </x:c>
      <x:c r="D486" s="2" t="str">
        <x:v>5分</x:v>
      </x:c>
      <x:c r="E486" s="11" t="n">
        <x:v>108</x:v>
      </x:c>
      <x:c r="F486" s="11" t="n">
        <x:v>162</x:v>
      </x:c>
      <x:c r="G486" s="12" t="n">
        <x:f>IF(F486=0,"n.a.",E486/F486)</x:f>
        <x:v>0.6666666666666666</x:v>
      </x:c>
      <x:c r="H486" s="13" t="str">
        <x:v>Q22高分=差距大；Q35高分=通道畅通；其余按题意</x:v>
      </x:c>
      <x:c r="I486" s="2" t="str">
        <x:v>数值版 Sheet1!EQ2:EU163</x:v>
      </x:c>
    </x:row>
    <x:row r="487" ht="30" customHeight="1">
      <x:c r="A487" s="2" t="str">
        <x:v>Q33</x:v>
      </x:c>
      <x:c r="B487" s="2" t="str">
        <x:v>五级量表</x:v>
      </x:c>
      <x:c r="C487" s="13" t="str">
        <x:v>I2 建立岗位胜任力评价体系</x:v>
      </x:c>
      <x:c r="D487" s="2" t="str">
        <x:v>1分</x:v>
      </x:c>
      <x:c r="E487" s="11" t="n">
        <x:v>0</x:v>
      </x:c>
      <x:c r="F487" s="11" t="n">
        <x:v>162</x:v>
      </x:c>
      <x:c r="G487" s="12" t="n">
        <x:f>IF(F487=0,"n.a.",E487/F487)</x:f>
        <x:v>0</x:v>
      </x:c>
      <x:c r="H487" s="13" t="str">
        <x:v>Q22高分=差距大；Q35高分=通道畅通；其余按题意</x:v>
      </x:c>
      <x:c r="I487" s="2" t="str">
        <x:v>数值版 Sheet1!EQ2:EU163</x:v>
      </x:c>
    </x:row>
    <x:row r="488" ht="30" customHeight="1">
      <x:c r="A488" s="2" t="str">
        <x:v>Q33</x:v>
      </x:c>
      <x:c r="B488" s="2" t="str">
        <x:v>五级量表</x:v>
      </x:c>
      <x:c r="C488" s="13" t="str">
        <x:v>I2 建立岗位胜任力评价体系</x:v>
      </x:c>
      <x:c r="D488" s="2" t="str">
        <x:v>2分</x:v>
      </x:c>
      <x:c r="E488" s="11" t="n">
        <x:v>1</x:v>
      </x:c>
      <x:c r="F488" s="11" t="n">
        <x:v>162</x:v>
      </x:c>
      <x:c r="G488" s="12" t="n">
        <x:f>IF(F488=0,"n.a.",E488/F488)</x:f>
        <x:v>0.006172839506172839</x:v>
      </x:c>
      <x:c r="H488" s="13" t="str">
        <x:v>Q22高分=差距大；Q35高分=通道畅通；其余按题意</x:v>
      </x:c>
      <x:c r="I488" s="2" t="str">
        <x:v>数值版 Sheet1!EQ2:EU163</x:v>
      </x:c>
    </x:row>
    <x:row r="489" ht="30" customHeight="1">
      <x:c r="A489" s="2" t="str">
        <x:v>Q33</x:v>
      </x:c>
      <x:c r="B489" s="2" t="str">
        <x:v>五级量表</x:v>
      </x:c>
      <x:c r="C489" s="13" t="str">
        <x:v>I2 建立岗位胜任力评价体系</x:v>
      </x:c>
      <x:c r="D489" s="2" t="str">
        <x:v>3分</x:v>
      </x:c>
      <x:c r="E489" s="11" t="n">
        <x:v>12</x:v>
      </x:c>
      <x:c r="F489" s="11" t="n">
        <x:v>162</x:v>
      </x:c>
      <x:c r="G489" s="12" t="n">
        <x:f>IF(F489=0,"n.a.",E489/F489)</x:f>
        <x:v>0.07407407407407407</x:v>
      </x:c>
      <x:c r="H489" s="13" t="str">
        <x:v>Q22高分=差距大；Q35高分=通道畅通；其余按题意</x:v>
      </x:c>
      <x:c r="I489" s="2" t="str">
        <x:v>数值版 Sheet1!EQ2:EU163</x:v>
      </x:c>
    </x:row>
    <x:row r="490" ht="30" customHeight="1">
      <x:c r="A490" s="2" t="str">
        <x:v>Q33</x:v>
      </x:c>
      <x:c r="B490" s="2" t="str">
        <x:v>五级量表</x:v>
      </x:c>
      <x:c r="C490" s="13" t="str">
        <x:v>I2 建立岗位胜任力评价体系</x:v>
      </x:c>
      <x:c r="D490" s="2" t="str">
        <x:v>4分</x:v>
      </x:c>
      <x:c r="E490" s="11" t="n">
        <x:v>45</x:v>
      </x:c>
      <x:c r="F490" s="11" t="n">
        <x:v>162</x:v>
      </x:c>
      <x:c r="G490" s="12" t="n">
        <x:f>IF(F490=0,"n.a.",E490/F490)</x:f>
        <x:v>0.2777777777777778</x:v>
      </x:c>
      <x:c r="H490" s="13" t="str">
        <x:v>Q22高分=差距大；Q35高分=通道畅通；其余按题意</x:v>
      </x:c>
      <x:c r="I490" s="2" t="str">
        <x:v>数值版 Sheet1!EQ2:EU163</x:v>
      </x:c>
    </x:row>
    <x:row r="491" ht="30" customHeight="1">
      <x:c r="A491" s="2" t="str">
        <x:v>Q33</x:v>
      </x:c>
      <x:c r="B491" s="2" t="str">
        <x:v>五级量表</x:v>
      </x:c>
      <x:c r="C491" s="13" t="str">
        <x:v>I2 建立岗位胜任力评价体系</x:v>
      </x:c>
      <x:c r="D491" s="2" t="str">
        <x:v>5分</x:v>
      </x:c>
      <x:c r="E491" s="11" t="n">
        <x:v>104</x:v>
      </x:c>
      <x:c r="F491" s="11" t="n">
        <x:v>162</x:v>
      </x:c>
      <x:c r="G491" s="12" t="n">
        <x:f>IF(F491=0,"n.a.",E491/F491)</x:f>
        <x:v>0.6419753086419753</x:v>
      </x:c>
      <x:c r="H491" s="13" t="str">
        <x:v>Q22高分=差距大；Q35高分=通道畅通；其余按题意</x:v>
      </x:c>
      <x:c r="I491" s="2" t="str">
        <x:v>数值版 Sheet1!EQ2:EU163</x:v>
      </x:c>
    </x:row>
    <x:row r="492" ht="30" customHeight="1">
      <x:c r="A492" s="2" t="str">
        <x:v>Q33</x:v>
      </x:c>
      <x:c r="B492" s="2" t="str">
        <x:v>五级量表</x:v>
      </x:c>
      <x:c r="C492" s="13" t="str">
        <x:v>I3 建立行业经济管理人才库</x:v>
      </x:c>
      <x:c r="D492" s="2" t="str">
        <x:v>1分</x:v>
      </x:c>
      <x:c r="E492" s="11" t="n">
        <x:v>0</x:v>
      </x:c>
      <x:c r="F492" s="11" t="n">
        <x:v>162</x:v>
      </x:c>
      <x:c r="G492" s="12" t="n">
        <x:f>IF(F492=0,"n.a.",E492/F492)</x:f>
        <x:v>0</x:v>
      </x:c>
      <x:c r="H492" s="13" t="str">
        <x:v>Q22高分=差距大；Q35高分=通道畅通；其余按题意</x:v>
      </x:c>
      <x:c r="I492" s="2" t="str">
        <x:v>数值版 Sheet1!EQ2:EU163</x:v>
      </x:c>
    </x:row>
    <x:row r="493" ht="30" customHeight="1">
      <x:c r="A493" s="2" t="str">
        <x:v>Q33</x:v>
      </x:c>
      <x:c r="B493" s="2" t="str">
        <x:v>五级量表</x:v>
      </x:c>
      <x:c r="C493" s="13" t="str">
        <x:v>I3 建立行业经济管理人才库</x:v>
      </x:c>
      <x:c r="D493" s="2" t="str">
        <x:v>2分</x:v>
      </x:c>
      <x:c r="E493" s="11" t="n">
        <x:v>1</x:v>
      </x:c>
      <x:c r="F493" s="11" t="n">
        <x:v>162</x:v>
      </x:c>
      <x:c r="G493" s="12" t="n">
        <x:f>IF(F493=0,"n.a.",E493/F493)</x:f>
        <x:v>0.006172839506172839</x:v>
      </x:c>
      <x:c r="H493" s="13" t="str">
        <x:v>Q22高分=差距大；Q35高分=通道畅通；其余按题意</x:v>
      </x:c>
      <x:c r="I493" s="2" t="str">
        <x:v>数值版 Sheet1!EQ2:EU163</x:v>
      </x:c>
    </x:row>
    <x:row r="494" ht="30" customHeight="1">
      <x:c r="A494" s="2" t="str">
        <x:v>Q33</x:v>
      </x:c>
      <x:c r="B494" s="2" t="str">
        <x:v>五级量表</x:v>
      </x:c>
      <x:c r="C494" s="13" t="str">
        <x:v>I3 建立行业经济管理人才库</x:v>
      </x:c>
      <x:c r="D494" s="2" t="str">
        <x:v>3分</x:v>
      </x:c>
      <x:c r="E494" s="11" t="n">
        <x:v>16</x:v>
      </x:c>
      <x:c r="F494" s="11" t="n">
        <x:v>162</x:v>
      </x:c>
      <x:c r="G494" s="12" t="n">
        <x:f>IF(F494=0,"n.a.",E494/F494)</x:f>
        <x:v>0.09876543209876543</x:v>
      </x:c>
      <x:c r="H494" s="13" t="str">
        <x:v>Q22高分=差距大；Q35高分=通道畅通；其余按题意</x:v>
      </x:c>
      <x:c r="I494" s="2" t="str">
        <x:v>数值版 Sheet1!EQ2:EU163</x:v>
      </x:c>
    </x:row>
    <x:row r="495" ht="30" customHeight="1">
      <x:c r="A495" s="2" t="str">
        <x:v>Q33</x:v>
      </x:c>
      <x:c r="B495" s="2" t="str">
        <x:v>五级量表</x:v>
      </x:c>
      <x:c r="C495" s="13" t="str">
        <x:v>I3 建立行业经济管理人才库</x:v>
      </x:c>
      <x:c r="D495" s="2" t="str">
        <x:v>4分</x:v>
      </x:c>
      <x:c r="E495" s="11" t="n">
        <x:v>43</x:v>
      </x:c>
      <x:c r="F495" s="11" t="n">
        <x:v>162</x:v>
      </x:c>
      <x:c r="G495" s="12" t="n">
        <x:f>IF(F495=0,"n.a.",E495/F495)</x:f>
        <x:v>0.2654320987654321</x:v>
      </x:c>
      <x:c r="H495" s="13" t="str">
        <x:v>Q22高分=差距大；Q35高分=通道畅通；其余按题意</x:v>
      </x:c>
      <x:c r="I495" s="2" t="str">
        <x:v>数值版 Sheet1!EQ2:EU163</x:v>
      </x:c>
    </x:row>
    <x:row r="496" ht="30" customHeight="1">
      <x:c r="A496" s="2" t="str">
        <x:v>Q33</x:v>
      </x:c>
      <x:c r="B496" s="2" t="str">
        <x:v>五级量表</x:v>
      </x:c>
      <x:c r="C496" s="13" t="str">
        <x:v>I3 建立行业经济管理人才库</x:v>
      </x:c>
      <x:c r="D496" s="2" t="str">
        <x:v>5分</x:v>
      </x:c>
      <x:c r="E496" s="11" t="n">
        <x:v>102</x:v>
      </x:c>
      <x:c r="F496" s="11" t="n">
        <x:v>162</x:v>
      </x:c>
      <x:c r="G496" s="12" t="n">
        <x:f>IF(F496=0,"n.a.",E496/F496)</x:f>
        <x:v>0.6296296296296297</x:v>
      </x:c>
      <x:c r="H496" s="13" t="str">
        <x:v>Q22高分=差距大；Q35高分=通道畅通；其余按题意</x:v>
      </x:c>
      <x:c r="I496" s="2" t="str">
        <x:v>数值版 Sheet1!EQ2:EU163</x:v>
      </x:c>
    </x:row>
    <x:row r="497" ht="30" customHeight="1">
      <x:c r="A497" s="2" t="str">
        <x:v>Q33</x:v>
      </x:c>
      <x:c r="B497" s="2" t="str">
        <x:v>五级量表</x:v>
      </x:c>
      <x:c r="C497" s="13" t="str">
        <x:v>I4 建立行业师资库与课程认证制度</x:v>
      </x:c>
      <x:c r="D497" s="2" t="str">
        <x:v>1分</x:v>
      </x:c>
      <x:c r="E497" s="11" t="n">
        <x:v>0</x:v>
      </x:c>
      <x:c r="F497" s="11" t="n">
        <x:v>162</x:v>
      </x:c>
      <x:c r="G497" s="12" t="n">
        <x:f>IF(F497=0,"n.a.",E497/F497)</x:f>
        <x:v>0</x:v>
      </x:c>
      <x:c r="H497" s="13" t="str">
        <x:v>Q22高分=差距大；Q35高分=通道畅通；其余按题意</x:v>
      </x:c>
      <x:c r="I497" s="2" t="str">
        <x:v>数值版 Sheet1!EQ2:EU163</x:v>
      </x:c>
    </x:row>
    <x:row r="498" ht="30" customHeight="1">
      <x:c r="A498" s="2" t="str">
        <x:v>Q33</x:v>
      </x:c>
      <x:c r="B498" s="2" t="str">
        <x:v>五级量表</x:v>
      </x:c>
      <x:c r="C498" s="13" t="str">
        <x:v>I4 建立行业师资库与课程认证制度</x:v>
      </x:c>
      <x:c r="D498" s="2" t="str">
        <x:v>2分</x:v>
      </x:c>
      <x:c r="E498" s="11" t="n">
        <x:v>1</x:v>
      </x:c>
      <x:c r="F498" s="11" t="n">
        <x:v>162</x:v>
      </x:c>
      <x:c r="G498" s="12" t="n">
        <x:f>IF(F498=0,"n.a.",E498/F498)</x:f>
        <x:v>0.006172839506172839</x:v>
      </x:c>
      <x:c r="H498" s="13" t="str">
        <x:v>Q22高分=差距大；Q35高分=通道畅通；其余按题意</x:v>
      </x:c>
      <x:c r="I498" s="2" t="str">
        <x:v>数值版 Sheet1!EQ2:EU163</x:v>
      </x:c>
    </x:row>
    <x:row r="499" ht="30" customHeight="1">
      <x:c r="A499" s="2" t="str">
        <x:v>Q33</x:v>
      </x:c>
      <x:c r="B499" s="2" t="str">
        <x:v>五级量表</x:v>
      </x:c>
      <x:c r="C499" s="13" t="str">
        <x:v>I4 建立行业师资库与课程认证制度</x:v>
      </x:c>
      <x:c r="D499" s="2" t="str">
        <x:v>3分</x:v>
      </x:c>
      <x:c r="E499" s="11" t="n">
        <x:v>18</x:v>
      </x:c>
      <x:c r="F499" s="11" t="n">
        <x:v>162</x:v>
      </x:c>
      <x:c r="G499" s="12" t="n">
        <x:f>IF(F499=0,"n.a.",E499/F499)</x:f>
        <x:v>0.1111111111111111</x:v>
      </x:c>
      <x:c r="H499" s="13" t="str">
        <x:v>Q22高分=差距大；Q35高分=通道畅通；其余按题意</x:v>
      </x:c>
      <x:c r="I499" s="2" t="str">
        <x:v>数值版 Sheet1!EQ2:EU163</x:v>
      </x:c>
    </x:row>
    <x:row r="500" ht="30" customHeight="1">
      <x:c r="A500" s="2" t="str">
        <x:v>Q33</x:v>
      </x:c>
      <x:c r="B500" s="2" t="str">
        <x:v>五级量表</x:v>
      </x:c>
      <x:c r="C500" s="13" t="str">
        <x:v>I4 建立行业师资库与课程认证制度</x:v>
      </x:c>
      <x:c r="D500" s="2" t="str">
        <x:v>4分</x:v>
      </x:c>
      <x:c r="E500" s="11" t="n">
        <x:v>49</x:v>
      </x:c>
      <x:c r="F500" s="11" t="n">
        <x:v>162</x:v>
      </x:c>
      <x:c r="G500" s="12" t="n">
        <x:f>IF(F500=0,"n.a.",E500/F500)</x:f>
        <x:v>0.30246913580246915</x:v>
      </x:c>
      <x:c r="H500" s="13" t="str">
        <x:v>Q22高分=差距大；Q35高分=通道畅通；其余按题意</x:v>
      </x:c>
      <x:c r="I500" s="2" t="str">
        <x:v>数值版 Sheet1!EQ2:EU163</x:v>
      </x:c>
    </x:row>
    <x:row r="501" ht="30" customHeight="1">
      <x:c r="A501" s="2" t="str">
        <x:v>Q33</x:v>
      </x:c>
      <x:c r="B501" s="2" t="str">
        <x:v>五级量表</x:v>
      </x:c>
      <x:c r="C501" s="13" t="str">
        <x:v>I4 建立行业师资库与课程认证制度</x:v>
      </x:c>
      <x:c r="D501" s="2" t="str">
        <x:v>5分</x:v>
      </x:c>
      <x:c r="E501" s="11" t="n">
        <x:v>94</x:v>
      </x:c>
      <x:c r="F501" s="11" t="n">
        <x:v>162</x:v>
      </x:c>
      <x:c r="G501" s="12" t="n">
        <x:f>IF(F501=0,"n.a.",E501/F501)</x:f>
        <x:v>0.5802469135802469</x:v>
      </x:c>
      <x:c r="H501" s="13" t="str">
        <x:v>Q22高分=差距大；Q35高分=通道畅通；其余按题意</x:v>
      </x:c>
      <x:c r="I501" s="2" t="str">
        <x:v>数值版 Sheet1!EQ2:EU163</x:v>
      </x:c>
    </x:row>
    <x:row r="502" ht="30" customHeight="1">
      <x:c r="A502" s="2" t="str">
        <x:v>Q33</x:v>
      </x:c>
      <x:c r="B502" s="2" t="str">
        <x:v>五级量表</x:v>
      </x:c>
      <x:c r="C502" s="13" t="str">
        <x:v>I5 继续教育学分与职称评审衔接制度</x:v>
      </x:c>
      <x:c r="D502" s="2" t="str">
        <x:v>1分</x:v>
      </x:c>
      <x:c r="E502" s="11" t="n">
        <x:v>1</x:v>
      </x:c>
      <x:c r="F502" s="11" t="n">
        <x:v>162</x:v>
      </x:c>
      <x:c r="G502" s="12" t="n">
        <x:f>IF(F502=0,"n.a.",E502/F502)</x:f>
        <x:v>0.006172839506172839</x:v>
      </x:c>
      <x:c r="H502" s="13" t="str">
        <x:v>Q22高分=差距大；Q35高分=通道畅通；其余按题意</x:v>
      </x:c>
      <x:c r="I502" s="2" t="str">
        <x:v>数值版 Sheet1!EQ2:EU163</x:v>
      </x:c>
    </x:row>
    <x:row r="503" ht="30" customHeight="1">
      <x:c r="A503" s="2" t="str">
        <x:v>Q33</x:v>
      </x:c>
      <x:c r="B503" s="2" t="str">
        <x:v>五级量表</x:v>
      </x:c>
      <x:c r="C503" s="13" t="str">
        <x:v>I5 继续教育学分与职称评审衔接制度</x:v>
      </x:c>
      <x:c r="D503" s="2" t="str">
        <x:v>2分</x:v>
      </x:c>
      <x:c r="E503" s="11" t="n">
        <x:v>3</x:v>
      </x:c>
      <x:c r="F503" s="11" t="n">
        <x:v>162</x:v>
      </x:c>
      <x:c r="G503" s="12" t="n">
        <x:f>IF(F503=0,"n.a.",E503/F503)</x:f>
        <x:v>0.018518518518518517</x:v>
      </x:c>
      <x:c r="H503" s="13" t="str">
        <x:v>Q22高分=差距大；Q35高分=通道畅通；其余按题意</x:v>
      </x:c>
      <x:c r="I503" s="2" t="str">
        <x:v>数值版 Sheet1!EQ2:EU163</x:v>
      </x:c>
    </x:row>
    <x:row r="504" ht="30" customHeight="1">
      <x:c r="A504" s="2" t="str">
        <x:v>Q33</x:v>
      </x:c>
      <x:c r="B504" s="2" t="str">
        <x:v>五级量表</x:v>
      </x:c>
      <x:c r="C504" s="13" t="str">
        <x:v>I5 继续教育学分与职称评审衔接制度</x:v>
      </x:c>
      <x:c r="D504" s="2" t="str">
        <x:v>3分</x:v>
      </x:c>
      <x:c r="E504" s="11" t="n">
        <x:v>16</x:v>
      </x:c>
      <x:c r="F504" s="11" t="n">
        <x:v>162</x:v>
      </x:c>
      <x:c r="G504" s="12" t="n">
        <x:f>IF(F504=0,"n.a.",E504/F504)</x:f>
        <x:v>0.09876543209876543</x:v>
      </x:c>
      <x:c r="H504" s="13" t="str">
        <x:v>Q22高分=差距大；Q35高分=通道畅通；其余按题意</x:v>
      </x:c>
      <x:c r="I504" s="2" t="str">
        <x:v>数值版 Sheet1!EQ2:EU163</x:v>
      </x:c>
    </x:row>
    <x:row r="505" ht="30" customHeight="1">
      <x:c r="A505" s="2" t="str">
        <x:v>Q33</x:v>
      </x:c>
      <x:c r="B505" s="2" t="str">
        <x:v>五级量表</x:v>
      </x:c>
      <x:c r="C505" s="13" t="str">
        <x:v>I5 继续教育学分与职称评审衔接制度</x:v>
      </x:c>
      <x:c r="D505" s="2" t="str">
        <x:v>4分</x:v>
      </x:c>
      <x:c r="E505" s="11" t="n">
        <x:v>48</x:v>
      </x:c>
      <x:c r="F505" s="11" t="n">
        <x:v>162</x:v>
      </x:c>
      <x:c r="G505" s="12" t="n">
        <x:f>IF(F505=0,"n.a.",E505/F505)</x:f>
        <x:v>0.2962962962962963</x:v>
      </x:c>
      <x:c r="H505" s="13" t="str">
        <x:v>Q22高分=差距大；Q35高分=通道畅通；其余按题意</x:v>
      </x:c>
      <x:c r="I505" s="2" t="str">
        <x:v>数值版 Sheet1!EQ2:EU163</x:v>
      </x:c>
    </x:row>
    <x:row r="506" ht="30" customHeight="1">
      <x:c r="A506" s="2" t="str">
        <x:v>Q33</x:v>
      </x:c>
      <x:c r="B506" s="2" t="str">
        <x:v>五级量表</x:v>
      </x:c>
      <x:c r="C506" s="13" t="str">
        <x:v>I5 继续教育学分与职称评审衔接制度</x:v>
      </x:c>
      <x:c r="D506" s="2" t="str">
        <x:v>5分</x:v>
      </x:c>
      <x:c r="E506" s="11" t="n">
        <x:v>94</x:v>
      </x:c>
      <x:c r="F506" s="11" t="n">
        <x:v>162</x:v>
      </x:c>
      <x:c r="G506" s="12" t="n">
        <x:f>IF(F506=0,"n.a.",E506/F506)</x:f>
        <x:v>0.5802469135802469</x:v>
      </x:c>
      <x:c r="H506" s="13" t="str">
        <x:v>Q22高分=差距大；Q35高分=通道畅通；其余按题意</x:v>
      </x:c>
      <x:c r="I506" s="2" t="str">
        <x:v>数值版 Sheet1!EQ2:EU163</x:v>
      </x:c>
    </x:row>
    <x:row r="507" ht="30" customHeight="1">
      <x:c r="A507" s="2" t="str">
        <x:v>Q34</x:v>
      </x:c>
      <x:c r="B507" s="2" t="str">
        <x:v>五级量表</x:v>
      </x:c>
      <x:c r="C507" s="13" t="str">
        <x:v>J1 评优评先</x:v>
      </x:c>
      <x:c r="D507" s="2" t="str">
        <x:v>1分</x:v>
      </x:c>
      <x:c r="E507" s="11" t="n">
        <x:v>2</x:v>
      </x:c>
      <x:c r="F507" s="11" t="n">
        <x:v>162</x:v>
      </x:c>
      <x:c r="G507" s="12" t="n">
        <x:f>IF(F507=0,"n.a.",E507/F507)</x:f>
        <x:v>0.012345679012345678</x:v>
      </x:c>
      <x:c r="H507" s="13" t="str">
        <x:v>Q22高分=差距大；Q35高分=通道畅通；其余按题意</x:v>
      </x:c>
      <x:c r="I507" s="2" t="str">
        <x:v>数值版 Sheet1!EV2:EZ163</x:v>
      </x:c>
    </x:row>
    <x:row r="508" ht="30" customHeight="1">
      <x:c r="A508" s="2" t="str">
        <x:v>Q34</x:v>
      </x:c>
      <x:c r="B508" s="2" t="str">
        <x:v>五级量表</x:v>
      </x:c>
      <x:c r="C508" s="13" t="str">
        <x:v>J1 评优评先</x:v>
      </x:c>
      <x:c r="D508" s="2" t="str">
        <x:v>2分</x:v>
      </x:c>
      <x:c r="E508" s="11" t="n">
        <x:v>4</x:v>
      </x:c>
      <x:c r="F508" s="11" t="n">
        <x:v>162</x:v>
      </x:c>
      <x:c r="G508" s="12" t="n">
        <x:f>IF(F508=0,"n.a.",E508/F508)</x:f>
        <x:v>0.024691358024691357</x:v>
      </x:c>
      <x:c r="H508" s="13" t="str">
        <x:v>Q22高分=差距大；Q35高分=通道畅通；其余按题意</x:v>
      </x:c>
      <x:c r="I508" s="2" t="str">
        <x:v>数值版 Sheet1!EV2:EZ163</x:v>
      </x:c>
    </x:row>
    <x:row r="509" ht="30" customHeight="1">
      <x:c r="A509" s="2" t="str">
        <x:v>Q34</x:v>
      </x:c>
      <x:c r="B509" s="2" t="str">
        <x:v>五级量表</x:v>
      </x:c>
      <x:c r="C509" s="13" t="str">
        <x:v>J1 评优评先</x:v>
      </x:c>
      <x:c r="D509" s="2" t="str">
        <x:v>3分</x:v>
      </x:c>
      <x:c r="E509" s="11" t="n">
        <x:v>18</x:v>
      </x:c>
      <x:c r="F509" s="11" t="n">
        <x:v>162</x:v>
      </x:c>
      <x:c r="G509" s="12" t="n">
        <x:f>IF(F509=0,"n.a.",E509/F509)</x:f>
        <x:v>0.1111111111111111</x:v>
      </x:c>
      <x:c r="H509" s="13" t="str">
        <x:v>Q22高分=差距大；Q35高分=通道畅通；其余按题意</x:v>
      </x:c>
      <x:c r="I509" s="2" t="str">
        <x:v>数值版 Sheet1!EV2:EZ163</x:v>
      </x:c>
    </x:row>
    <x:row r="510" ht="30" customHeight="1">
      <x:c r="A510" s="2" t="str">
        <x:v>Q34</x:v>
      </x:c>
      <x:c r="B510" s="2" t="str">
        <x:v>五级量表</x:v>
      </x:c>
      <x:c r="C510" s="13" t="str">
        <x:v>J1 评优评先</x:v>
      </x:c>
      <x:c r="D510" s="2" t="str">
        <x:v>4分</x:v>
      </x:c>
      <x:c r="E510" s="11" t="n">
        <x:v>38</x:v>
      </x:c>
      <x:c r="F510" s="11" t="n">
        <x:v>162</x:v>
      </x:c>
      <x:c r="G510" s="12" t="n">
        <x:f>IF(F510=0,"n.a.",E510/F510)</x:f>
        <x:v>0.2345679012345679</x:v>
      </x:c>
      <x:c r="H510" s="13" t="str">
        <x:v>Q22高分=差距大；Q35高分=通道畅通；其余按题意</x:v>
      </x:c>
      <x:c r="I510" s="2" t="str">
        <x:v>数值版 Sheet1!EV2:EZ163</x:v>
      </x:c>
    </x:row>
    <x:row r="511" ht="30" customHeight="1">
      <x:c r="A511" s="2" t="str">
        <x:v>Q34</x:v>
      </x:c>
      <x:c r="B511" s="2" t="str">
        <x:v>五级量表</x:v>
      </x:c>
      <x:c r="C511" s="13" t="str">
        <x:v>J1 评优评先</x:v>
      </x:c>
      <x:c r="D511" s="2" t="str">
        <x:v>5分</x:v>
      </x:c>
      <x:c r="E511" s="11" t="n">
        <x:v>100</x:v>
      </x:c>
      <x:c r="F511" s="11" t="n">
        <x:v>162</x:v>
      </x:c>
      <x:c r="G511" s="12" t="n">
        <x:f>IF(F511=0,"n.a.",E511/F511)</x:f>
        <x:v>0.6172839506172839</x:v>
      </x:c>
      <x:c r="H511" s="13" t="str">
        <x:v>Q22高分=差距大；Q35高分=通道畅通；其余按题意</x:v>
      </x:c>
      <x:c r="I511" s="2" t="str">
        <x:v>数值版 Sheet1!EV2:EZ163</x:v>
      </x:c>
    </x:row>
    <x:row r="512" ht="30" customHeight="1">
      <x:c r="A512" s="2" t="str">
        <x:v>Q34</x:v>
      </x:c>
      <x:c r="B512" s="2" t="str">
        <x:v>五级量表</x:v>
      </x:c>
      <x:c r="C512" s="13" t="str">
        <x:v>J2 岗位聘任</x:v>
      </x:c>
      <x:c r="D512" s="2" t="str">
        <x:v>1分</x:v>
      </x:c>
      <x:c r="E512" s="11" t="n">
        <x:v>1</x:v>
      </x:c>
      <x:c r="F512" s="11" t="n">
        <x:v>162</x:v>
      </x:c>
      <x:c r="G512" s="12" t="n">
        <x:f>IF(F512=0,"n.a.",E512/F512)</x:f>
        <x:v>0.006172839506172839</x:v>
      </x:c>
      <x:c r="H512" s="13" t="str">
        <x:v>Q22高分=差距大；Q35高分=通道畅通；其余按题意</x:v>
      </x:c>
      <x:c r="I512" s="2" t="str">
        <x:v>数值版 Sheet1!EV2:EZ163</x:v>
      </x:c>
    </x:row>
    <x:row r="513" ht="30" customHeight="1">
      <x:c r="A513" s="2" t="str">
        <x:v>Q34</x:v>
      </x:c>
      <x:c r="B513" s="2" t="str">
        <x:v>五级量表</x:v>
      </x:c>
      <x:c r="C513" s="13" t="str">
        <x:v>J2 岗位聘任</x:v>
      </x:c>
      <x:c r="D513" s="2" t="str">
        <x:v>2分</x:v>
      </x:c>
      <x:c r="E513" s="11" t="n">
        <x:v>4</x:v>
      </x:c>
      <x:c r="F513" s="11" t="n">
        <x:v>162</x:v>
      </x:c>
      <x:c r="G513" s="12" t="n">
        <x:f>IF(F513=0,"n.a.",E513/F513)</x:f>
        <x:v>0.024691358024691357</x:v>
      </x:c>
      <x:c r="H513" s="13" t="str">
        <x:v>Q22高分=差距大；Q35高分=通道畅通；其余按题意</x:v>
      </x:c>
      <x:c r="I513" s="2" t="str">
        <x:v>数值版 Sheet1!EV2:EZ163</x:v>
      </x:c>
    </x:row>
    <x:row r="514" ht="30" customHeight="1">
      <x:c r="A514" s="2" t="str">
        <x:v>Q34</x:v>
      </x:c>
      <x:c r="B514" s="2" t="str">
        <x:v>五级量表</x:v>
      </x:c>
      <x:c r="C514" s="13" t="str">
        <x:v>J2 岗位聘任</x:v>
      </x:c>
      <x:c r="D514" s="2" t="str">
        <x:v>3分</x:v>
      </x:c>
      <x:c r="E514" s="11" t="n">
        <x:v>7</x:v>
      </x:c>
      <x:c r="F514" s="11" t="n">
        <x:v>162</x:v>
      </x:c>
      <x:c r="G514" s="12" t="n">
        <x:f>IF(F514=0,"n.a.",E514/F514)</x:f>
        <x:v>0.043209876543209874</x:v>
      </x:c>
      <x:c r="H514" s="13" t="str">
        <x:v>Q22高分=差距大；Q35高分=通道畅通；其余按题意</x:v>
      </x:c>
      <x:c r="I514" s="2" t="str">
        <x:v>数值版 Sheet1!EV2:EZ163</x:v>
      </x:c>
    </x:row>
    <x:row r="515" ht="30" customHeight="1">
      <x:c r="A515" s="2" t="str">
        <x:v>Q34</x:v>
      </x:c>
      <x:c r="B515" s="2" t="str">
        <x:v>五级量表</x:v>
      </x:c>
      <x:c r="C515" s="13" t="str">
        <x:v>J2 岗位聘任</x:v>
      </x:c>
      <x:c r="D515" s="2" t="str">
        <x:v>4分</x:v>
      </x:c>
      <x:c r="E515" s="11" t="n">
        <x:v>37</x:v>
      </x:c>
      <x:c r="F515" s="11" t="n">
        <x:v>162</x:v>
      </x:c>
      <x:c r="G515" s="12" t="n">
        <x:f>IF(F515=0,"n.a.",E515/F515)</x:f>
        <x:v>0.22839506172839505</x:v>
      </x:c>
      <x:c r="H515" s="13" t="str">
        <x:v>Q22高分=差距大；Q35高分=通道畅通；其余按题意</x:v>
      </x:c>
      <x:c r="I515" s="2" t="str">
        <x:v>数值版 Sheet1!EV2:EZ163</x:v>
      </x:c>
    </x:row>
    <x:row r="516" ht="30" customHeight="1">
      <x:c r="A516" s="2" t="str">
        <x:v>Q34</x:v>
      </x:c>
      <x:c r="B516" s="2" t="str">
        <x:v>五级量表</x:v>
      </x:c>
      <x:c r="C516" s="13" t="str">
        <x:v>J2 岗位聘任</x:v>
      </x:c>
      <x:c r="D516" s="2" t="str">
        <x:v>5分</x:v>
      </x:c>
      <x:c r="E516" s="11" t="n">
        <x:v>113</x:v>
      </x:c>
      <x:c r="F516" s="11" t="n">
        <x:v>162</x:v>
      </x:c>
      <x:c r="G516" s="12" t="n">
        <x:f>IF(F516=0,"n.a.",E516/F516)</x:f>
        <x:v>0.6975308641975309</x:v>
      </x:c>
      <x:c r="H516" s="13" t="str">
        <x:v>Q22高分=差距大；Q35高分=通道畅通；其余按题意</x:v>
      </x:c>
      <x:c r="I516" s="2" t="str">
        <x:v>数值版 Sheet1!EV2:EZ163</x:v>
      </x:c>
    </x:row>
    <x:row r="517" ht="30" customHeight="1">
      <x:c r="A517" s="2" t="str">
        <x:v>Q34</x:v>
      </x:c>
      <x:c r="B517" s="2" t="str">
        <x:v>五级量表</x:v>
      </x:c>
      <x:c r="C517" s="13" t="str">
        <x:v>J3   薪酬激励</x:v>
      </x:c>
      <x:c r="D517" s="2" t="str">
        <x:v>1分</x:v>
      </x:c>
      <x:c r="E517" s="11" t="n">
        <x:v>1</x:v>
      </x:c>
      <x:c r="F517" s="11" t="n">
        <x:v>162</x:v>
      </x:c>
      <x:c r="G517" s="12" t="n">
        <x:f>IF(F517=0,"n.a.",E517/F517)</x:f>
        <x:v>0.006172839506172839</x:v>
      </x:c>
      <x:c r="H517" s="13" t="str">
        <x:v>Q22高分=差距大；Q35高分=通道畅通；其余按题意</x:v>
      </x:c>
      <x:c r="I517" s="2" t="str">
        <x:v>数值版 Sheet1!EV2:EZ163</x:v>
      </x:c>
    </x:row>
    <x:row r="518" ht="30" customHeight="1">
      <x:c r="A518" s="2" t="str">
        <x:v>Q34</x:v>
      </x:c>
      <x:c r="B518" s="2" t="str">
        <x:v>五级量表</x:v>
      </x:c>
      <x:c r="C518" s="13" t="str">
        <x:v>J3   薪酬激励</x:v>
      </x:c>
      <x:c r="D518" s="2" t="str">
        <x:v>2分</x:v>
      </x:c>
      <x:c r="E518" s="11" t="n">
        <x:v>5</x:v>
      </x:c>
      <x:c r="F518" s="11" t="n">
        <x:v>162</x:v>
      </x:c>
      <x:c r="G518" s="12" t="n">
        <x:f>IF(F518=0,"n.a.",E518/F518)</x:f>
        <x:v>0.030864197530864196</x:v>
      </x:c>
      <x:c r="H518" s="13" t="str">
        <x:v>Q22高分=差距大；Q35高分=通道畅通；其余按题意</x:v>
      </x:c>
      <x:c r="I518" s="2" t="str">
        <x:v>数值版 Sheet1!EV2:EZ163</x:v>
      </x:c>
    </x:row>
    <x:row r="519" ht="30" customHeight="1">
      <x:c r="A519" s="2" t="str">
        <x:v>Q34</x:v>
      </x:c>
      <x:c r="B519" s="2" t="str">
        <x:v>五级量表</x:v>
      </x:c>
      <x:c r="C519" s="13" t="str">
        <x:v>J3   薪酬激励</x:v>
      </x:c>
      <x:c r="D519" s="2" t="str">
        <x:v>3分</x:v>
      </x:c>
      <x:c r="E519" s="11" t="n">
        <x:v>6</x:v>
      </x:c>
      <x:c r="F519" s="11" t="n">
        <x:v>162</x:v>
      </x:c>
      <x:c r="G519" s="12" t="n">
        <x:f>IF(F519=0,"n.a.",E519/F519)</x:f>
        <x:v>0.037037037037037035</x:v>
      </x:c>
      <x:c r="H519" s="13" t="str">
        <x:v>Q22高分=差距大；Q35高分=通道畅通；其余按题意</x:v>
      </x:c>
      <x:c r="I519" s="2" t="str">
        <x:v>数值版 Sheet1!EV2:EZ163</x:v>
      </x:c>
    </x:row>
    <x:row r="520" ht="30" customHeight="1">
      <x:c r="A520" s="2" t="str">
        <x:v>Q34</x:v>
      </x:c>
      <x:c r="B520" s="2" t="str">
        <x:v>五级量表</x:v>
      </x:c>
      <x:c r="C520" s="13" t="str">
        <x:v>J3   薪酬激励</x:v>
      </x:c>
      <x:c r="D520" s="2" t="str">
        <x:v>4分</x:v>
      </x:c>
      <x:c r="E520" s="11" t="n">
        <x:v>38</x:v>
      </x:c>
      <x:c r="F520" s="11" t="n">
        <x:v>162</x:v>
      </x:c>
      <x:c r="G520" s="12" t="n">
        <x:f>IF(F520=0,"n.a.",E520/F520)</x:f>
        <x:v>0.2345679012345679</x:v>
      </x:c>
      <x:c r="H520" s="13" t="str">
        <x:v>Q22高分=差距大；Q35高分=通道畅通；其余按题意</x:v>
      </x:c>
      <x:c r="I520" s="2" t="str">
        <x:v>数值版 Sheet1!EV2:EZ163</x:v>
      </x:c>
    </x:row>
    <x:row r="521" ht="30" customHeight="1">
      <x:c r="A521" s="2" t="str">
        <x:v>Q34</x:v>
      </x:c>
      <x:c r="B521" s="2" t="str">
        <x:v>五级量表</x:v>
      </x:c>
      <x:c r="C521" s="13" t="str">
        <x:v>J3   薪酬激励</x:v>
      </x:c>
      <x:c r="D521" s="2" t="str">
        <x:v>5分</x:v>
      </x:c>
      <x:c r="E521" s="11" t="n">
        <x:v>112</x:v>
      </x:c>
      <x:c r="F521" s="11" t="n">
        <x:v>162</x:v>
      </x:c>
      <x:c r="G521" s="12" t="n">
        <x:f>IF(F521=0,"n.a.",E521/F521)</x:f>
        <x:v>0.691358024691358</x:v>
      </x:c>
      <x:c r="H521" s="13" t="str">
        <x:v>Q22高分=差距大；Q35高分=通道畅通；其余按题意</x:v>
      </x:c>
      <x:c r="I521" s="2" t="str">
        <x:v>数值版 Sheet1!EV2:EZ163</x:v>
      </x:c>
    </x:row>
    <x:row r="522" ht="30" customHeight="1">
      <x:c r="A522" s="2" t="str">
        <x:v>Q34</x:v>
      </x:c>
      <x:c r="B522" s="2" t="str">
        <x:v>五级量表</x:v>
      </x:c>
      <x:c r="C522" s="13" t="str">
        <x:v>J4   职称推荐</x:v>
      </x:c>
      <x:c r="D522" s="2" t="str">
        <x:v>1分</x:v>
      </x:c>
      <x:c r="E522" s="11" t="n">
        <x:v>1</x:v>
      </x:c>
      <x:c r="F522" s="11" t="n">
        <x:v>162</x:v>
      </x:c>
      <x:c r="G522" s="12" t="n">
        <x:f>IF(F522=0,"n.a.",E522/F522)</x:f>
        <x:v>0.006172839506172839</x:v>
      </x:c>
      <x:c r="H522" s="13" t="str">
        <x:v>Q22高分=差距大；Q35高分=通道畅通；其余按题意</x:v>
      </x:c>
      <x:c r="I522" s="2" t="str">
        <x:v>数值版 Sheet1!EV2:EZ163</x:v>
      </x:c>
    </x:row>
    <x:row r="523" ht="30" customHeight="1">
      <x:c r="A523" s="2" t="str">
        <x:v>Q34</x:v>
      </x:c>
      <x:c r="B523" s="2" t="str">
        <x:v>五级量表</x:v>
      </x:c>
      <x:c r="C523" s="13" t="str">
        <x:v>J4   职称推荐</x:v>
      </x:c>
      <x:c r="D523" s="2" t="str">
        <x:v>2分</x:v>
      </x:c>
      <x:c r="E523" s="11" t="n">
        <x:v>3</x:v>
      </x:c>
      <x:c r="F523" s="11" t="n">
        <x:v>162</x:v>
      </x:c>
      <x:c r="G523" s="12" t="n">
        <x:f>IF(F523=0,"n.a.",E523/F523)</x:f>
        <x:v>0.018518518518518517</x:v>
      </x:c>
      <x:c r="H523" s="13" t="str">
        <x:v>Q22高分=差距大；Q35高分=通道畅通；其余按题意</x:v>
      </x:c>
      <x:c r="I523" s="2" t="str">
        <x:v>数值版 Sheet1!EV2:EZ163</x:v>
      </x:c>
    </x:row>
    <x:row r="524" ht="30" customHeight="1">
      <x:c r="A524" s="2" t="str">
        <x:v>Q34</x:v>
      </x:c>
      <x:c r="B524" s="2" t="str">
        <x:v>五级量表</x:v>
      </x:c>
      <x:c r="C524" s="13" t="str">
        <x:v>J4   职称推荐</x:v>
      </x:c>
      <x:c r="D524" s="2" t="str">
        <x:v>3分</x:v>
      </x:c>
      <x:c r="E524" s="11" t="n">
        <x:v>5</x:v>
      </x:c>
      <x:c r="F524" s="11" t="n">
        <x:v>162</x:v>
      </x:c>
      <x:c r="G524" s="12" t="n">
        <x:f>IF(F524=0,"n.a.",E524/F524)</x:f>
        <x:v>0.030864197530864196</x:v>
      </x:c>
      <x:c r="H524" s="13" t="str">
        <x:v>Q22高分=差距大；Q35高分=通道畅通；其余按题意</x:v>
      </x:c>
      <x:c r="I524" s="2" t="str">
        <x:v>数值版 Sheet1!EV2:EZ163</x:v>
      </x:c>
    </x:row>
    <x:row r="525" ht="30" customHeight="1">
      <x:c r="A525" s="2" t="str">
        <x:v>Q34</x:v>
      </x:c>
      <x:c r="B525" s="2" t="str">
        <x:v>五级量表</x:v>
      </x:c>
      <x:c r="C525" s="13" t="str">
        <x:v>J4   职称推荐</x:v>
      </x:c>
      <x:c r="D525" s="2" t="str">
        <x:v>4分</x:v>
      </x:c>
      <x:c r="E525" s="11" t="n">
        <x:v>39</x:v>
      </x:c>
      <x:c r="F525" s="11" t="n">
        <x:v>162</x:v>
      </x:c>
      <x:c r="G525" s="12" t="n">
        <x:f>IF(F525=0,"n.a.",E525/F525)</x:f>
        <x:v>0.24074074074074073</x:v>
      </x:c>
      <x:c r="H525" s="13" t="str">
        <x:v>Q22高分=差距大；Q35高分=通道畅通；其余按题意</x:v>
      </x:c>
      <x:c r="I525" s="2" t="str">
        <x:v>数值版 Sheet1!EV2:EZ163</x:v>
      </x:c>
    </x:row>
    <x:row r="526" ht="30" customHeight="1">
      <x:c r="A526" s="2" t="str">
        <x:v>Q34</x:v>
      </x:c>
      <x:c r="B526" s="2" t="str">
        <x:v>五级量表</x:v>
      </x:c>
      <x:c r="C526" s="13" t="str">
        <x:v>J4   职称推荐</x:v>
      </x:c>
      <x:c r="D526" s="2" t="str">
        <x:v>5分</x:v>
      </x:c>
      <x:c r="E526" s="11" t="n">
        <x:v>114</x:v>
      </x:c>
      <x:c r="F526" s="11" t="n">
        <x:v>162</x:v>
      </x:c>
      <x:c r="G526" s="12" t="n">
        <x:f>IF(F526=0,"n.a.",E526/F526)</x:f>
        <x:v>0.7037037037037037</x:v>
      </x:c>
      <x:c r="H526" s="13" t="str">
        <x:v>Q22高分=差距大；Q35高分=通道畅通；其余按题意</x:v>
      </x:c>
      <x:c r="I526" s="2" t="str">
        <x:v>数值版 Sheet1!EV2:EZ163</x:v>
      </x:c>
    </x:row>
    <x:row r="527" ht="30" customHeight="1">
      <x:c r="A527" s="2" t="str">
        <x:v>Q34</x:v>
      </x:c>
      <x:c r="B527" s="2" t="str">
        <x:v>五级量表</x:v>
      </x:c>
      <x:c r="C527" s="13" t="str">
        <x:v>J5 人才计划推荐</x:v>
      </x:c>
      <x:c r="D527" s="2" t="str">
        <x:v>1分</x:v>
      </x:c>
      <x:c r="E527" s="11" t="n">
        <x:v>1</x:v>
      </x:c>
      <x:c r="F527" s="11" t="n">
        <x:v>162</x:v>
      </x:c>
      <x:c r="G527" s="12" t="n">
        <x:f>IF(F527=0,"n.a.",E527/F527)</x:f>
        <x:v>0.006172839506172839</x:v>
      </x:c>
      <x:c r="H527" s="13" t="str">
        <x:v>Q22高分=差距大；Q35高分=通道畅通；其余按题意</x:v>
      </x:c>
      <x:c r="I527" s="2" t="str">
        <x:v>数值版 Sheet1!EV2:EZ163</x:v>
      </x:c>
    </x:row>
    <x:row r="528" ht="30" customHeight="1">
      <x:c r="A528" s="2" t="str">
        <x:v>Q34</x:v>
      </x:c>
      <x:c r="B528" s="2" t="str">
        <x:v>五级量表</x:v>
      </x:c>
      <x:c r="C528" s="13" t="str">
        <x:v>J5 人才计划推荐</x:v>
      </x:c>
      <x:c r="D528" s="2" t="str">
        <x:v>2分</x:v>
      </x:c>
      <x:c r="E528" s="11" t="n">
        <x:v>2</x:v>
      </x:c>
      <x:c r="F528" s="11" t="n">
        <x:v>162</x:v>
      </x:c>
      <x:c r="G528" s="12" t="n">
        <x:f>IF(F528=0,"n.a.",E528/F528)</x:f>
        <x:v>0.012345679012345678</x:v>
      </x:c>
      <x:c r="H528" s="13" t="str">
        <x:v>Q22高分=差距大；Q35高分=通道畅通；其余按题意</x:v>
      </x:c>
      <x:c r="I528" s="2" t="str">
        <x:v>数值版 Sheet1!EV2:EZ163</x:v>
      </x:c>
    </x:row>
    <x:row r="529" ht="30" customHeight="1">
      <x:c r="A529" s="2" t="str">
        <x:v>Q34</x:v>
      </x:c>
      <x:c r="B529" s="2" t="str">
        <x:v>五级量表</x:v>
      </x:c>
      <x:c r="C529" s="13" t="str">
        <x:v>J5 人才计划推荐</x:v>
      </x:c>
      <x:c r="D529" s="2" t="str">
        <x:v>3分</x:v>
      </x:c>
      <x:c r="E529" s="11" t="n">
        <x:v>9</x:v>
      </x:c>
      <x:c r="F529" s="11" t="n">
        <x:v>162</x:v>
      </x:c>
      <x:c r="G529" s="12" t="n">
        <x:f>IF(F529=0,"n.a.",E529/F529)</x:f>
        <x:v>0.05555555555555555</x:v>
      </x:c>
      <x:c r="H529" s="13" t="str">
        <x:v>Q22高分=差距大；Q35高分=通道畅通；其余按题意</x:v>
      </x:c>
      <x:c r="I529" s="2" t="str">
        <x:v>数值版 Sheet1!EV2:EZ163</x:v>
      </x:c>
    </x:row>
    <x:row r="530" ht="30" customHeight="1">
      <x:c r="A530" s="2" t="str">
        <x:v>Q34</x:v>
      </x:c>
      <x:c r="B530" s="2" t="str">
        <x:v>五级量表</x:v>
      </x:c>
      <x:c r="C530" s="13" t="str">
        <x:v>J5 人才计划推荐</x:v>
      </x:c>
      <x:c r="D530" s="2" t="str">
        <x:v>4分</x:v>
      </x:c>
      <x:c r="E530" s="11" t="n">
        <x:v>37</x:v>
      </x:c>
      <x:c r="F530" s="11" t="n">
        <x:v>162</x:v>
      </x:c>
      <x:c r="G530" s="12" t="n">
        <x:f>IF(F530=0,"n.a.",E530/F530)</x:f>
        <x:v>0.22839506172839505</x:v>
      </x:c>
      <x:c r="H530" s="13" t="str">
        <x:v>Q22高分=差距大；Q35高分=通道畅通；其余按题意</x:v>
      </x:c>
      <x:c r="I530" s="2" t="str">
        <x:v>数值版 Sheet1!EV2:EZ163</x:v>
      </x:c>
    </x:row>
    <x:row r="531" ht="30" customHeight="1">
      <x:c r="A531" s="2" t="str">
        <x:v>Q34</x:v>
      </x:c>
      <x:c r="B531" s="2" t="str">
        <x:v>五级量表</x:v>
      </x:c>
      <x:c r="C531" s="13" t="str">
        <x:v>J5 人才计划推荐</x:v>
      </x:c>
      <x:c r="D531" s="2" t="str">
        <x:v>5分</x:v>
      </x:c>
      <x:c r="E531" s="11" t="n">
        <x:v>113</x:v>
      </x:c>
      <x:c r="F531" s="11" t="n">
        <x:v>162</x:v>
      </x:c>
      <x:c r="G531" s="12" t="n">
        <x:f>IF(F531=0,"n.a.",E531/F531)</x:f>
        <x:v>0.6975308641975309</x:v>
      </x:c>
      <x:c r="H531" s="13" t="str">
        <x:v>Q22高分=差距大；Q35高分=通道畅通；其余按题意</x:v>
      </x:c>
      <x:c r="I531" s="2" t="str">
        <x:v>数值版 Sheet1!EV2:EZ163</x:v>
      </x:c>
    </x:row>
    <x:row r="532" ht="30" customHeight="1">
      <x:c r="A532" s="2" t="str">
        <x:v>Q35</x:v>
      </x:c>
      <x:c r="B532" s="2" t="str">
        <x:v>五级量表</x:v>
      </x:c>
      <x:c r="C532" s="13" t="str">
        <x:v>K1 职称评审与聘任通道</x:v>
      </x:c>
      <x:c r="D532" s="2" t="str">
        <x:v>1分</x:v>
      </x:c>
      <x:c r="E532" s="11" t="n">
        <x:v>9</x:v>
      </x:c>
      <x:c r="F532" s="11" t="n">
        <x:v>162</x:v>
      </x:c>
      <x:c r="G532" s="12" t="n">
        <x:f>IF(F532=0,"n.a.",E532/F532)</x:f>
        <x:v>0.05555555555555555</x:v>
      </x:c>
      <x:c r="H532" s="13" t="str">
        <x:v>Q22高分=差距大；Q35高分=通道畅通；其余按题意</x:v>
      </x:c>
      <x:c r="I532" s="2" t="str">
        <x:v>数值版 Sheet1!FA2:FF163</x:v>
      </x:c>
    </x:row>
    <x:row r="533" ht="30" customHeight="1">
      <x:c r="A533" s="2" t="str">
        <x:v>Q35</x:v>
      </x:c>
      <x:c r="B533" s="2" t="str">
        <x:v>五级量表</x:v>
      </x:c>
      <x:c r="C533" s="13" t="str">
        <x:v>K1 职称评审与聘任通道</x:v>
      </x:c>
      <x:c r="D533" s="2" t="str">
        <x:v>2分</x:v>
      </x:c>
      <x:c r="E533" s="11" t="n">
        <x:v>14</x:v>
      </x:c>
      <x:c r="F533" s="11" t="n">
        <x:v>162</x:v>
      </x:c>
      <x:c r="G533" s="12" t="n">
        <x:f>IF(F533=0,"n.a.",E533/F533)</x:f>
        <x:v>0.08641975308641975</x:v>
      </x:c>
      <x:c r="H533" s="13" t="str">
        <x:v>Q22高分=差距大；Q35高分=通道畅通；其余按题意</x:v>
      </x:c>
      <x:c r="I533" s="2" t="str">
        <x:v>数值版 Sheet1!FA2:FF163</x:v>
      </x:c>
    </x:row>
    <x:row r="534" ht="30" customHeight="1">
      <x:c r="A534" s="2" t="str">
        <x:v>Q35</x:v>
      </x:c>
      <x:c r="B534" s="2" t="str">
        <x:v>五级量表</x:v>
      </x:c>
      <x:c r="C534" s="13" t="str">
        <x:v>K1 职称评审与聘任通道</x:v>
      </x:c>
      <x:c r="D534" s="2" t="str">
        <x:v>3分</x:v>
      </x:c>
      <x:c r="E534" s="11" t="n">
        <x:v>41</x:v>
      </x:c>
      <x:c r="F534" s="11" t="n">
        <x:v>162</x:v>
      </x:c>
      <x:c r="G534" s="12" t="n">
        <x:f>IF(F534=0,"n.a.",E534/F534)</x:f>
        <x:v>0.25308641975308643</x:v>
      </x:c>
      <x:c r="H534" s="13" t="str">
        <x:v>Q22高分=差距大；Q35高分=通道畅通；其余按题意</x:v>
      </x:c>
      <x:c r="I534" s="2" t="str">
        <x:v>数值版 Sheet1!FA2:FF163</x:v>
      </x:c>
    </x:row>
    <x:row r="535" ht="30" customHeight="1">
      <x:c r="A535" s="2" t="str">
        <x:v>Q35</x:v>
      </x:c>
      <x:c r="B535" s="2" t="str">
        <x:v>五级量表</x:v>
      </x:c>
      <x:c r="C535" s="13" t="str">
        <x:v>K1 职称评审与聘任通道</x:v>
      </x:c>
      <x:c r="D535" s="2" t="str">
        <x:v>4分</x:v>
      </x:c>
      <x:c r="E535" s="11" t="n">
        <x:v>48</x:v>
      </x:c>
      <x:c r="F535" s="11" t="n">
        <x:v>162</x:v>
      </x:c>
      <x:c r="G535" s="12" t="n">
        <x:f>IF(F535=0,"n.a.",E535/F535)</x:f>
        <x:v>0.2962962962962963</x:v>
      </x:c>
      <x:c r="H535" s="13" t="str">
        <x:v>Q22高分=差距大；Q35高分=通道畅通；其余按题意</x:v>
      </x:c>
      <x:c r="I535" s="2" t="str">
        <x:v>数值版 Sheet1!FA2:FF163</x:v>
      </x:c>
    </x:row>
    <x:row r="536" ht="30" customHeight="1">
      <x:c r="A536" s="2" t="str">
        <x:v>Q35</x:v>
      </x:c>
      <x:c r="B536" s="2" t="str">
        <x:v>五级量表</x:v>
      </x:c>
      <x:c r="C536" s="13" t="str">
        <x:v>K1 职称评审与聘任通道</x:v>
      </x:c>
      <x:c r="D536" s="2" t="str">
        <x:v>5分</x:v>
      </x:c>
      <x:c r="E536" s="11" t="n">
        <x:v>50</x:v>
      </x:c>
      <x:c r="F536" s="11" t="n">
        <x:v>162</x:v>
      </x:c>
      <x:c r="G536" s="12" t="n">
        <x:f>IF(F536=0,"n.a.",E536/F536)</x:f>
        <x:v>0.30864197530864196</x:v>
      </x:c>
      <x:c r="H536" s="13" t="str">
        <x:v>Q22高分=差距大；Q35高分=通道畅通；其余按题意</x:v>
      </x:c>
      <x:c r="I536" s="2" t="str">
        <x:v>数值版 Sheet1!FA2:FF163</x:v>
      </x:c>
    </x:row>
    <x:row r="537" ht="30" customHeight="1">
      <x:c r="A537" s="2" t="str">
        <x:v>Q35</x:v>
      </x:c>
      <x:c r="B537" s="2" t="str">
        <x:v>五级量表</x:v>
      </x:c>
      <x:c r="C537" s="13" t="str">
        <x:v>K2 岗位层级与职务晋升通道</x:v>
      </x:c>
      <x:c r="D537" s="2" t="str">
        <x:v>1分</x:v>
      </x:c>
      <x:c r="E537" s="11" t="n">
        <x:v>8</x:v>
      </x:c>
      <x:c r="F537" s="11" t="n">
        <x:v>162</x:v>
      </x:c>
      <x:c r="G537" s="12" t="n">
        <x:f>IF(F537=0,"n.a.",E537/F537)</x:f>
        <x:v>0.04938271604938271</x:v>
      </x:c>
      <x:c r="H537" s="13" t="str">
        <x:v>Q22高分=差距大；Q35高分=通道畅通；其余按题意</x:v>
      </x:c>
      <x:c r="I537" s="2" t="str">
        <x:v>数值版 Sheet1!FA2:FF163</x:v>
      </x:c>
    </x:row>
    <x:row r="538" ht="30" customHeight="1">
      <x:c r="A538" s="2" t="str">
        <x:v>Q35</x:v>
      </x:c>
      <x:c r="B538" s="2" t="str">
        <x:v>五级量表</x:v>
      </x:c>
      <x:c r="C538" s="13" t="str">
        <x:v>K2 岗位层级与职务晋升通道</x:v>
      </x:c>
      <x:c r="D538" s="2" t="str">
        <x:v>2分</x:v>
      </x:c>
      <x:c r="E538" s="11" t="n">
        <x:v>15</x:v>
      </x:c>
      <x:c r="F538" s="11" t="n">
        <x:v>162</x:v>
      </x:c>
      <x:c r="G538" s="12" t="n">
        <x:f>IF(F538=0,"n.a.",E538/F538)</x:f>
        <x:v>0.09259259259259259</x:v>
      </x:c>
      <x:c r="H538" s="13" t="str">
        <x:v>Q22高分=差距大；Q35高分=通道畅通；其余按题意</x:v>
      </x:c>
      <x:c r="I538" s="2" t="str">
        <x:v>数值版 Sheet1!FA2:FF163</x:v>
      </x:c>
    </x:row>
    <x:row r="539" ht="30" customHeight="1">
      <x:c r="A539" s="2" t="str">
        <x:v>Q35</x:v>
      </x:c>
      <x:c r="B539" s="2" t="str">
        <x:v>五级量表</x:v>
      </x:c>
      <x:c r="C539" s="13" t="str">
        <x:v>K2 岗位层级与职务晋升通道</x:v>
      </x:c>
      <x:c r="D539" s="2" t="str">
        <x:v>3分</x:v>
      </x:c>
      <x:c r="E539" s="11" t="n">
        <x:v>50</x:v>
      </x:c>
      <x:c r="F539" s="11" t="n">
        <x:v>162</x:v>
      </x:c>
      <x:c r="G539" s="12" t="n">
        <x:f>IF(F539=0,"n.a.",E539/F539)</x:f>
        <x:v>0.30864197530864196</x:v>
      </x:c>
      <x:c r="H539" s="13" t="str">
        <x:v>Q22高分=差距大；Q35高分=通道畅通；其余按题意</x:v>
      </x:c>
      <x:c r="I539" s="2" t="str">
        <x:v>数值版 Sheet1!FA2:FF163</x:v>
      </x:c>
    </x:row>
    <x:row r="540" ht="30" customHeight="1">
      <x:c r="A540" s="2" t="str">
        <x:v>Q35</x:v>
      </x:c>
      <x:c r="B540" s="2" t="str">
        <x:v>五级量表</x:v>
      </x:c>
      <x:c r="C540" s="13" t="str">
        <x:v>K2 岗位层级与职务晋升通道</x:v>
      </x:c>
      <x:c r="D540" s="2" t="str">
        <x:v>4分</x:v>
      </x:c>
      <x:c r="E540" s="11" t="n">
        <x:v>46</x:v>
      </x:c>
      <x:c r="F540" s="11" t="n">
        <x:v>162</x:v>
      </x:c>
      <x:c r="G540" s="12" t="n">
        <x:f>IF(F540=0,"n.a.",E540/F540)</x:f>
        <x:v>0.2839506172839506</x:v>
      </x:c>
      <x:c r="H540" s="13" t="str">
        <x:v>Q22高分=差距大；Q35高分=通道畅通；其余按题意</x:v>
      </x:c>
      <x:c r="I540" s="2" t="str">
        <x:v>数值版 Sheet1!FA2:FF163</x:v>
      </x:c>
    </x:row>
    <x:row r="541" ht="30" customHeight="1">
      <x:c r="A541" s="2" t="str">
        <x:v>Q35</x:v>
      </x:c>
      <x:c r="B541" s="2" t="str">
        <x:v>五级量表</x:v>
      </x:c>
      <x:c r="C541" s="13" t="str">
        <x:v>K2 岗位层级与职务晋升通道</x:v>
      </x:c>
      <x:c r="D541" s="2" t="str">
        <x:v>5分</x:v>
      </x:c>
      <x:c r="E541" s="11" t="n">
        <x:v>43</x:v>
      </x:c>
      <x:c r="F541" s="11" t="n">
        <x:v>162</x:v>
      </x:c>
      <x:c r="G541" s="12" t="n">
        <x:f>IF(F541=0,"n.a.",E541/F541)</x:f>
        <x:v>0.2654320987654321</x:v>
      </x:c>
      <x:c r="H541" s="13" t="str">
        <x:v>Q22高分=差距大；Q35高分=通道畅通；其余按题意</x:v>
      </x:c>
      <x:c r="I541" s="2" t="str">
        <x:v>数值版 Sheet1!FA2:FF163</x:v>
      </x:c>
    </x:row>
    <x:row r="542" ht="30" customHeight="1">
      <x:c r="A542" s="2" t="str">
        <x:v>Q35</x:v>
      </x:c>
      <x:c r="B542" s="2" t="str">
        <x:v>五级量表</x:v>
      </x:c>
      <x:c r="C542" s="13" t="str">
        <x:v>K3 跨部门轮岗与交流通道</x:v>
      </x:c>
      <x:c r="D542" s="2" t="str">
        <x:v>1分</x:v>
      </x:c>
      <x:c r="E542" s="11" t="n">
        <x:v>8</x:v>
      </x:c>
      <x:c r="F542" s="11" t="n">
        <x:v>162</x:v>
      </x:c>
      <x:c r="G542" s="12" t="n">
        <x:f>IF(F542=0,"n.a.",E542/F542)</x:f>
        <x:v>0.04938271604938271</x:v>
      </x:c>
      <x:c r="H542" s="13" t="str">
        <x:v>Q22高分=差距大；Q35高分=通道畅通；其余按题意</x:v>
      </x:c>
      <x:c r="I542" s="2" t="str">
        <x:v>数值版 Sheet1!FA2:FF163</x:v>
      </x:c>
    </x:row>
    <x:row r="543" ht="30" customHeight="1">
      <x:c r="A543" s="2" t="str">
        <x:v>Q35</x:v>
      </x:c>
      <x:c r="B543" s="2" t="str">
        <x:v>五级量表</x:v>
      </x:c>
      <x:c r="C543" s="13" t="str">
        <x:v>K3 跨部门轮岗与交流通道</x:v>
      </x:c>
      <x:c r="D543" s="2" t="str">
        <x:v>2分</x:v>
      </x:c>
      <x:c r="E543" s="11" t="n">
        <x:v>23</x:v>
      </x:c>
      <x:c r="F543" s="11" t="n">
        <x:v>162</x:v>
      </x:c>
      <x:c r="G543" s="12" t="n">
        <x:f>IF(F543=0,"n.a.",E543/F543)</x:f>
        <x:v>0.1419753086419753</x:v>
      </x:c>
      <x:c r="H543" s="13" t="str">
        <x:v>Q22高分=差距大；Q35高分=通道畅通；其余按题意</x:v>
      </x:c>
      <x:c r="I543" s="2" t="str">
        <x:v>数值版 Sheet1!FA2:FF163</x:v>
      </x:c>
    </x:row>
    <x:row r="544" ht="30" customHeight="1">
      <x:c r="A544" s="2" t="str">
        <x:v>Q35</x:v>
      </x:c>
      <x:c r="B544" s="2" t="str">
        <x:v>五级量表</x:v>
      </x:c>
      <x:c r="C544" s="13" t="str">
        <x:v>K3 跨部门轮岗与交流通道</x:v>
      </x:c>
      <x:c r="D544" s="2" t="str">
        <x:v>3分</x:v>
      </x:c>
      <x:c r="E544" s="11" t="n">
        <x:v>56</x:v>
      </x:c>
      <x:c r="F544" s="11" t="n">
        <x:v>162</x:v>
      </x:c>
      <x:c r="G544" s="12" t="n">
        <x:f>IF(F544=0,"n.a.",E544/F544)</x:f>
        <x:v>0.345679012345679</x:v>
      </x:c>
      <x:c r="H544" s="13" t="str">
        <x:v>Q22高分=差距大；Q35高分=通道畅通；其余按题意</x:v>
      </x:c>
      <x:c r="I544" s="2" t="str">
        <x:v>数值版 Sheet1!FA2:FF163</x:v>
      </x:c>
    </x:row>
    <x:row r="545" ht="30" customHeight="1">
      <x:c r="A545" s="2" t="str">
        <x:v>Q35</x:v>
      </x:c>
      <x:c r="B545" s="2" t="str">
        <x:v>五级量表</x:v>
      </x:c>
      <x:c r="C545" s="13" t="str">
        <x:v>K3 跨部门轮岗与交流通道</x:v>
      </x:c>
      <x:c r="D545" s="2" t="str">
        <x:v>4分</x:v>
      </x:c>
      <x:c r="E545" s="11" t="n">
        <x:v>36</x:v>
      </x:c>
      <x:c r="F545" s="11" t="n">
        <x:v>162</x:v>
      </x:c>
      <x:c r="G545" s="12" t="n">
        <x:f>IF(F545=0,"n.a.",E545/F545)</x:f>
        <x:v>0.2222222222222222</x:v>
      </x:c>
      <x:c r="H545" s="13" t="str">
        <x:v>Q22高分=差距大；Q35高分=通道畅通；其余按题意</x:v>
      </x:c>
      <x:c r="I545" s="2" t="str">
        <x:v>数值版 Sheet1!FA2:FF163</x:v>
      </x:c>
    </x:row>
    <x:row r="546" ht="30" customHeight="1">
      <x:c r="A546" s="2" t="str">
        <x:v>Q35</x:v>
      </x:c>
      <x:c r="B546" s="2" t="str">
        <x:v>五级量表</x:v>
      </x:c>
      <x:c r="C546" s="13" t="str">
        <x:v>K3 跨部门轮岗与交流通道</x:v>
      </x:c>
      <x:c r="D546" s="2" t="str">
        <x:v>5分</x:v>
      </x:c>
      <x:c r="E546" s="11" t="n">
        <x:v>39</x:v>
      </x:c>
      <x:c r="F546" s="11" t="n">
        <x:v>162</x:v>
      </x:c>
      <x:c r="G546" s="12" t="n">
        <x:f>IF(F546=0,"n.a.",E546/F546)</x:f>
        <x:v>0.24074074074074073</x:v>
      </x:c>
      <x:c r="H546" s="13" t="str">
        <x:v>Q22高分=差距大；Q35高分=通道畅通；其余按题意</x:v>
      </x:c>
      <x:c r="I546" s="2" t="str">
        <x:v>数值版 Sheet1!FA2:FF163</x:v>
      </x:c>
    </x:row>
    <x:row r="547" ht="30" customHeight="1">
      <x:c r="A547" s="2" t="str">
        <x:v>Q35</x:v>
      </x:c>
      <x:c r="B547" s="2" t="str">
        <x:v>五级量表</x:v>
      </x:c>
      <x:c r="C547" s="13" t="str">
        <x:v>K4 专业能力进阶与培训通道</x:v>
      </x:c>
      <x:c r="D547" s="2" t="str">
        <x:v>1分</x:v>
      </x:c>
      <x:c r="E547" s="11" t="n">
        <x:v>5</x:v>
      </x:c>
      <x:c r="F547" s="11" t="n">
        <x:v>162</x:v>
      </x:c>
      <x:c r="G547" s="12" t="n">
        <x:f>IF(F547=0,"n.a.",E547/F547)</x:f>
        <x:v>0.030864197530864196</x:v>
      </x:c>
      <x:c r="H547" s="13" t="str">
        <x:v>Q22高分=差距大；Q35高分=通道畅通；其余按题意</x:v>
      </x:c>
      <x:c r="I547" s="2" t="str">
        <x:v>数值版 Sheet1!FA2:FF163</x:v>
      </x:c>
    </x:row>
    <x:row r="548" ht="30" customHeight="1">
      <x:c r="A548" s="2" t="str">
        <x:v>Q35</x:v>
      </x:c>
      <x:c r="B548" s="2" t="str">
        <x:v>五级量表</x:v>
      </x:c>
      <x:c r="C548" s="13" t="str">
        <x:v>K4 专业能力进阶与培训通道</x:v>
      </x:c>
      <x:c r="D548" s="2" t="str">
        <x:v>2分</x:v>
      </x:c>
      <x:c r="E548" s="11" t="n">
        <x:v>8</x:v>
      </x:c>
      <x:c r="F548" s="11" t="n">
        <x:v>162</x:v>
      </x:c>
      <x:c r="G548" s="12" t="n">
        <x:f>IF(F548=0,"n.a.",E548/F548)</x:f>
        <x:v>0.04938271604938271</x:v>
      </x:c>
      <x:c r="H548" s="13" t="str">
        <x:v>Q22高分=差距大；Q35高分=通道畅通；其余按题意</x:v>
      </x:c>
      <x:c r="I548" s="2" t="str">
        <x:v>数值版 Sheet1!FA2:FF163</x:v>
      </x:c>
    </x:row>
    <x:row r="549" ht="30" customHeight="1">
      <x:c r="A549" s="2" t="str">
        <x:v>Q35</x:v>
      </x:c>
      <x:c r="B549" s="2" t="str">
        <x:v>五级量表</x:v>
      </x:c>
      <x:c r="C549" s="13" t="str">
        <x:v>K4 专业能力进阶与培训通道</x:v>
      </x:c>
      <x:c r="D549" s="2" t="str">
        <x:v>3分</x:v>
      </x:c>
      <x:c r="E549" s="11" t="n">
        <x:v>53</x:v>
      </x:c>
      <x:c r="F549" s="11" t="n">
        <x:v>162</x:v>
      </x:c>
      <x:c r="G549" s="12" t="n">
        <x:f>IF(F549=0,"n.a.",E549/F549)</x:f>
        <x:v>0.3271604938271605</x:v>
      </x:c>
      <x:c r="H549" s="13" t="str">
        <x:v>Q22高分=差距大；Q35高分=通道畅通；其余按题意</x:v>
      </x:c>
      <x:c r="I549" s="2" t="str">
        <x:v>数值版 Sheet1!FA2:FF163</x:v>
      </x:c>
    </x:row>
    <x:row r="550" ht="30" customHeight="1">
      <x:c r="A550" s="2" t="str">
        <x:v>Q35</x:v>
      </x:c>
      <x:c r="B550" s="2" t="str">
        <x:v>五级量表</x:v>
      </x:c>
      <x:c r="C550" s="13" t="str">
        <x:v>K4 专业能力进阶与培训通道</x:v>
      </x:c>
      <x:c r="D550" s="2" t="str">
        <x:v>4分</x:v>
      </x:c>
      <x:c r="E550" s="11" t="n">
        <x:v>47</x:v>
      </x:c>
      <x:c r="F550" s="11" t="n">
        <x:v>162</x:v>
      </x:c>
      <x:c r="G550" s="12" t="n">
        <x:f>IF(F550=0,"n.a.",E550/F550)</x:f>
        <x:v>0.29012345679012347</x:v>
      </x:c>
      <x:c r="H550" s="13" t="str">
        <x:v>Q22高分=差距大；Q35高分=通道畅通；其余按题意</x:v>
      </x:c>
      <x:c r="I550" s="2" t="str">
        <x:v>数值版 Sheet1!FA2:FF163</x:v>
      </x:c>
    </x:row>
    <x:row r="551" ht="30" customHeight="1">
      <x:c r="A551" s="2" t="str">
        <x:v>Q35</x:v>
      </x:c>
      <x:c r="B551" s="2" t="str">
        <x:v>五级量表</x:v>
      </x:c>
      <x:c r="C551" s="13" t="str">
        <x:v>K4 专业能力进阶与培训通道</x:v>
      </x:c>
      <x:c r="D551" s="2" t="str">
        <x:v>5分</x:v>
      </x:c>
      <x:c r="E551" s="11" t="n">
        <x:v>49</x:v>
      </x:c>
      <x:c r="F551" s="11" t="n">
        <x:v>162</x:v>
      </x:c>
      <x:c r="G551" s="12" t="n">
        <x:f>IF(F551=0,"n.a.",E551/F551)</x:f>
        <x:v>0.30246913580246915</x:v>
      </x:c>
      <x:c r="H551" s="13" t="str">
        <x:v>Q22高分=差距大；Q35高分=通道畅通；其余按题意</x:v>
      </x:c>
      <x:c r="I551" s="2" t="str">
        <x:v>数值版 Sheet1!FA2:FF163</x:v>
      </x:c>
    </x:row>
    <x:row r="552" ht="30" customHeight="1">
      <x:c r="A552" s="2" t="str">
        <x:v>Q35</x:v>
      </x:c>
      <x:c r="B552" s="2" t="str">
        <x:v>五级量表</x:v>
      </x:c>
      <x:c r="C552" s="13" t="str">
        <x:v>K5 领军人才与后备人才成长通道</x:v>
      </x:c>
      <x:c r="D552" s="2" t="str">
        <x:v>1分</x:v>
      </x:c>
      <x:c r="E552" s="11" t="n">
        <x:v>7</x:v>
      </x:c>
      <x:c r="F552" s="11" t="n">
        <x:v>162</x:v>
      </x:c>
      <x:c r="G552" s="12" t="n">
        <x:f>IF(F552=0,"n.a.",E552/F552)</x:f>
        <x:v>0.043209876543209874</x:v>
      </x:c>
      <x:c r="H552" s="13" t="str">
        <x:v>Q22高分=差距大；Q35高分=通道畅通；其余按题意</x:v>
      </x:c>
      <x:c r="I552" s="2" t="str">
        <x:v>数值版 Sheet1!FA2:FF163</x:v>
      </x:c>
    </x:row>
    <x:row r="553" ht="30" customHeight="1">
      <x:c r="A553" s="2" t="str">
        <x:v>Q35</x:v>
      </x:c>
      <x:c r="B553" s="2" t="str">
        <x:v>五级量表</x:v>
      </x:c>
      <x:c r="C553" s="13" t="str">
        <x:v>K5 领军人才与后备人才成长通道</x:v>
      </x:c>
      <x:c r="D553" s="2" t="str">
        <x:v>2分</x:v>
      </x:c>
      <x:c r="E553" s="11" t="n">
        <x:v>10</x:v>
      </x:c>
      <x:c r="F553" s="11" t="n">
        <x:v>162</x:v>
      </x:c>
      <x:c r="G553" s="12" t="n">
        <x:f>IF(F553=0,"n.a.",E553/F553)</x:f>
        <x:v>0.06172839506172839</x:v>
      </x:c>
      <x:c r="H553" s="13" t="str">
        <x:v>Q22高分=差距大；Q35高分=通道畅通；其余按题意</x:v>
      </x:c>
      <x:c r="I553" s="2" t="str">
        <x:v>数值版 Sheet1!FA2:FF163</x:v>
      </x:c>
    </x:row>
    <x:row r="554" ht="30" customHeight="1">
      <x:c r="A554" s="2" t="str">
        <x:v>Q35</x:v>
      </x:c>
      <x:c r="B554" s="2" t="str">
        <x:v>五级量表</x:v>
      </x:c>
      <x:c r="C554" s="13" t="str">
        <x:v>K5 领军人才与后备人才成长通道</x:v>
      </x:c>
      <x:c r="D554" s="2" t="str">
        <x:v>3分</x:v>
      </x:c>
      <x:c r="E554" s="11" t="n">
        <x:v>52</x:v>
      </x:c>
      <x:c r="F554" s="11" t="n">
        <x:v>162</x:v>
      </x:c>
      <x:c r="G554" s="12" t="n">
        <x:f>IF(F554=0,"n.a.",E554/F554)</x:f>
        <x:v>0.32098765432098764</x:v>
      </x:c>
      <x:c r="H554" s="13" t="str">
        <x:v>Q22高分=差距大；Q35高分=通道畅通；其余按题意</x:v>
      </x:c>
      <x:c r="I554" s="2" t="str">
        <x:v>数值版 Sheet1!FA2:FF163</x:v>
      </x:c>
    </x:row>
    <x:row r="555" ht="30" customHeight="1">
      <x:c r="A555" s="2" t="str">
        <x:v>Q35</x:v>
      </x:c>
      <x:c r="B555" s="2" t="str">
        <x:v>五级量表</x:v>
      </x:c>
      <x:c r="C555" s="13" t="str">
        <x:v>K5 领军人才与后备人才成长通道</x:v>
      </x:c>
      <x:c r="D555" s="2" t="str">
        <x:v>4分</x:v>
      </x:c>
      <x:c r="E555" s="11" t="n">
        <x:v>46</x:v>
      </x:c>
      <x:c r="F555" s="11" t="n">
        <x:v>162</x:v>
      </x:c>
      <x:c r="G555" s="12" t="n">
        <x:f>IF(F555=0,"n.a.",E555/F555)</x:f>
        <x:v>0.2839506172839506</x:v>
      </x:c>
      <x:c r="H555" s="13" t="str">
        <x:v>Q22高分=差距大；Q35高分=通道畅通；其余按题意</x:v>
      </x:c>
      <x:c r="I555" s="2" t="str">
        <x:v>数值版 Sheet1!FA2:FF163</x:v>
      </x:c>
    </x:row>
    <x:row r="556" ht="30" customHeight="1">
      <x:c r="A556" s="2" t="str">
        <x:v>Q35</x:v>
      </x:c>
      <x:c r="B556" s="2" t="str">
        <x:v>五级量表</x:v>
      </x:c>
      <x:c r="C556" s="13" t="str">
        <x:v>K5 领军人才与后备人才成长通道</x:v>
      </x:c>
      <x:c r="D556" s="2" t="str">
        <x:v>5分</x:v>
      </x:c>
      <x:c r="E556" s="11" t="n">
        <x:v>47</x:v>
      </x:c>
      <x:c r="F556" s="11" t="n">
        <x:v>162</x:v>
      </x:c>
      <x:c r="G556" s="12" t="n">
        <x:f>IF(F556=0,"n.a.",E556/F556)</x:f>
        <x:v>0.29012345679012347</x:v>
      </x:c>
      <x:c r="H556" s="13" t="str">
        <x:v>Q22高分=差距大；Q35高分=通道畅通；其余按题意</x:v>
      </x:c>
      <x:c r="I556" s="2" t="str">
        <x:v>数值版 Sheet1!FA2:FF163</x:v>
      </x:c>
    </x:row>
    <x:row r="557" ht="30" customHeight="1">
      <x:c r="A557" s="2" t="str">
        <x:v>Q35</x:v>
      </x:c>
      <x:c r="B557" s="2" t="str">
        <x:v>五级量表</x:v>
      </x:c>
      <x:c r="C557" s="13" t="str">
        <x:v>K6 薪酬待遇与个人价值体现</x:v>
      </x:c>
      <x:c r="D557" s="2" t="str">
        <x:v>1分</x:v>
      </x:c>
      <x:c r="E557" s="11" t="n">
        <x:v>5</x:v>
      </x:c>
      <x:c r="F557" s="11" t="n">
        <x:v>162</x:v>
      </x:c>
      <x:c r="G557" s="12" t="n">
        <x:f>IF(F557=0,"n.a.",E557/F557)</x:f>
        <x:v>0.030864197530864196</x:v>
      </x:c>
      <x:c r="H557" s="13" t="str">
        <x:v>Q22高分=差距大；Q35高分=通道畅通；其余按题意</x:v>
      </x:c>
      <x:c r="I557" s="2" t="str">
        <x:v>数值版 Sheet1!FA2:FF163</x:v>
      </x:c>
    </x:row>
    <x:row r="558" ht="30" customHeight="1">
      <x:c r="A558" s="2" t="str">
        <x:v>Q35</x:v>
      </x:c>
      <x:c r="B558" s="2" t="str">
        <x:v>五级量表</x:v>
      </x:c>
      <x:c r="C558" s="13" t="str">
        <x:v>K6 薪酬待遇与个人价值体现</x:v>
      </x:c>
      <x:c r="D558" s="2" t="str">
        <x:v>2分</x:v>
      </x:c>
      <x:c r="E558" s="11" t="n">
        <x:v>17</x:v>
      </x:c>
      <x:c r="F558" s="11" t="n">
        <x:v>162</x:v>
      </x:c>
      <x:c r="G558" s="12" t="n">
        <x:f>IF(F558=0,"n.a.",E558/F558)</x:f>
        <x:v>0.10493827160493827</x:v>
      </x:c>
      <x:c r="H558" s="13" t="str">
        <x:v>Q22高分=差距大；Q35高分=通道畅通；其余按题意</x:v>
      </x:c>
      <x:c r="I558" s="2" t="str">
        <x:v>数值版 Sheet1!FA2:FF163</x:v>
      </x:c>
    </x:row>
    <x:row r="559" ht="30" customHeight="1">
      <x:c r="A559" s="2" t="str">
        <x:v>Q35</x:v>
      </x:c>
      <x:c r="B559" s="2" t="str">
        <x:v>五级量表</x:v>
      </x:c>
      <x:c r="C559" s="13" t="str">
        <x:v>K6 薪酬待遇与个人价值体现</x:v>
      </x:c>
      <x:c r="D559" s="2" t="str">
        <x:v>3分</x:v>
      </x:c>
      <x:c r="E559" s="11" t="n">
        <x:v>49</x:v>
      </x:c>
      <x:c r="F559" s="11" t="n">
        <x:v>162</x:v>
      </x:c>
      <x:c r="G559" s="12" t="n">
        <x:f>IF(F559=0,"n.a.",E559/F559)</x:f>
        <x:v>0.30246913580246915</x:v>
      </x:c>
      <x:c r="H559" s="13" t="str">
        <x:v>Q22高分=差距大；Q35高分=通道畅通；其余按题意</x:v>
      </x:c>
      <x:c r="I559" s="2" t="str">
        <x:v>数值版 Sheet1!FA2:FF163</x:v>
      </x:c>
    </x:row>
    <x:row r="560" ht="30" customHeight="1">
      <x:c r="A560" s="2" t="str">
        <x:v>Q35</x:v>
      </x:c>
      <x:c r="B560" s="2" t="str">
        <x:v>五级量表</x:v>
      </x:c>
      <x:c r="C560" s="13" t="str">
        <x:v>K6 薪酬待遇与个人价值体现</x:v>
      </x:c>
      <x:c r="D560" s="2" t="str">
        <x:v>4分</x:v>
      </x:c>
      <x:c r="E560" s="11" t="n">
        <x:v>52</x:v>
      </x:c>
      <x:c r="F560" s="11" t="n">
        <x:v>162</x:v>
      </x:c>
      <x:c r="G560" s="12" t="n">
        <x:f>IF(F560=0,"n.a.",E560/F560)</x:f>
        <x:v>0.32098765432098764</x:v>
      </x:c>
      <x:c r="H560" s="13" t="str">
        <x:v>Q22高分=差距大；Q35高分=通道畅通；其余按题意</x:v>
      </x:c>
      <x:c r="I560" s="2" t="str">
        <x:v>数值版 Sheet1!FA2:FF163</x:v>
      </x:c>
    </x:row>
    <x:row r="561" ht="30" customHeight="1">
      <x:c r="A561" s="2" t="str">
        <x:v>Q35</x:v>
      </x:c>
      <x:c r="B561" s="2" t="str">
        <x:v>五级量表</x:v>
      </x:c>
      <x:c r="C561" s="13" t="str">
        <x:v>K6 薪酬待遇与个人价值体现</x:v>
      </x:c>
      <x:c r="D561" s="2" t="str">
        <x:v>5分</x:v>
      </x:c>
      <x:c r="E561" s="11" t="n">
        <x:v>39</x:v>
      </x:c>
      <x:c r="F561" s="11" t="n">
        <x:v>162</x:v>
      </x:c>
      <x:c r="G561" s="12" t="n">
        <x:f>IF(F561=0,"n.a.",E561/F561)</x:f>
        <x:v>0.24074074074074073</x:v>
      </x:c>
      <x:c r="H561" s="13" t="str">
        <x:v>Q22高分=差距大；Q35高分=通道畅通；其余按题意</x:v>
      </x:c>
      <x:c r="I561" s="2" t="str">
        <x:v>数值版 Sheet1!FA2:FF163</x:v>
      </x:c>
    </x:row>
    <x:row r="562" ht="30" customHeight="1">
      <x:c r="A562" s="2" t="str">
        <x:v>Q36</x:v>
      </x:c>
      <x:c r="B562" s="2" t="str">
        <x:v>单选</x:v>
      </x:c>
      <x:c r="C562" s="13" t="str">
        <x:v>1000元以下</x:v>
      </x:c>
      <x:c r="D562" s="2" t="str">
        <x:v>1</x:v>
      </x:c>
      <x:c r="E562" s="11" t="n">
        <x:v>48</x:v>
      </x:c>
      <x:c r="F562" s="11" t="n">
        <x:v>162</x:v>
      </x:c>
      <x:c r="G562" s="12" t="n">
        <x:f>IF(F562=0,"n.a.",E562/F562)</x:f>
        <x:v>0.2962962962962963</x:v>
      </x:c>
      <x:c r="H562" s="13" t="str">
        <x:v>选项人数/该题有效答卷数</x:v>
      </x:c>
      <x:c r="I562" s="2" t="str">
        <x:v>数值版 Sheet1!FG2:FG163</x:v>
      </x:c>
    </x:row>
    <x:row r="563" ht="30" customHeight="1">
      <x:c r="A563" s="2" t="str">
        <x:v>Q36</x:v>
      </x:c>
      <x:c r="B563" s="2" t="str">
        <x:v>单选</x:v>
      </x:c>
      <x:c r="C563" s="13" t="str">
        <x:v>1000—3000元</x:v>
      </x:c>
      <x:c r="D563" s="2" t="str">
        <x:v>2</x:v>
      </x:c>
      <x:c r="E563" s="11" t="n">
        <x:v>62</x:v>
      </x:c>
      <x:c r="F563" s="11" t="n">
        <x:v>162</x:v>
      </x:c>
      <x:c r="G563" s="12" t="n">
        <x:f>IF(F563=0,"n.a.",E563/F563)</x:f>
        <x:v>0.38271604938271603</x:v>
      </x:c>
      <x:c r="H563" s="13" t="str">
        <x:v>选项人数/该题有效答卷数</x:v>
      </x:c>
      <x:c r="I563" s="2" t="str">
        <x:v>数值版 Sheet1!FG2:FG163</x:v>
      </x:c>
    </x:row>
    <x:row r="564" ht="30" customHeight="1">
      <x:c r="A564" s="2" t="str">
        <x:v>Q36</x:v>
      </x:c>
      <x:c r="B564" s="2" t="str">
        <x:v>单选</x:v>
      </x:c>
      <x:c r="C564" s="13" t="str">
        <x:v>3000—5000元</x:v>
      </x:c>
      <x:c r="D564" s="2" t="str">
        <x:v>3</x:v>
      </x:c>
      <x:c r="E564" s="11" t="n">
        <x:v>31</x:v>
      </x:c>
      <x:c r="F564" s="11" t="n">
        <x:v>162</x:v>
      </x:c>
      <x:c r="G564" s="12" t="n">
        <x:f>IF(F564=0,"n.a.",E564/F564)</x:f>
        <x:v>0.19135802469135801</x:v>
      </x:c>
      <x:c r="H564" s="13" t="str">
        <x:v>选项人数/该题有效答卷数</x:v>
      </x:c>
      <x:c r="I564" s="2" t="str">
        <x:v>数值版 Sheet1!FG2:FG163</x:v>
      </x:c>
    </x:row>
    <x:row r="565" ht="30" customHeight="1">
      <x:c r="A565" s="2" t="str">
        <x:v>Q36</x:v>
      </x:c>
      <x:c r="B565" s="2" t="str">
        <x:v>单选</x:v>
      </x:c>
      <x:c r="C565" s="13" t="str">
        <x:v>5000—10000元</x:v>
      </x:c>
      <x:c r="D565" s="2" t="str">
        <x:v>4</x:v>
      </x:c>
      <x:c r="E565" s="11" t="n">
        <x:v>14</x:v>
      </x:c>
      <x:c r="F565" s="11" t="n">
        <x:v>162</x:v>
      </x:c>
      <x:c r="G565" s="12" t="n">
        <x:f>IF(F565=0,"n.a.",E565/F565)</x:f>
        <x:v>0.08641975308641975</x:v>
      </x:c>
      <x:c r="H565" s="13" t="str">
        <x:v>选项人数/该题有效答卷数</x:v>
      </x:c>
      <x:c r="I565" s="2" t="str">
        <x:v>数值版 Sheet1!FG2:FG163</x:v>
      </x:c>
    </x:row>
    <x:row r="566" ht="30" customHeight="1">
      <x:c r="A566" s="2" t="str">
        <x:v>Q36</x:v>
      </x:c>
      <x:c r="B566" s="2" t="str">
        <x:v>单选</x:v>
      </x:c>
      <x:c r="C566" s="13" t="str">
        <x:v>10000元以上</x:v>
      </x:c>
      <x:c r="D566" s="2" t="str">
        <x:v>5</x:v>
      </x:c>
      <x:c r="E566" s="11" t="n">
        <x:v>7</x:v>
      </x:c>
      <x:c r="F566" s="11" t="n">
        <x:v>162</x:v>
      </x:c>
      <x:c r="G566" s="12" t="n">
        <x:f>IF(F566=0,"n.a.",E566/F566)</x:f>
        <x:v>0.043209876543209874</x:v>
      </x:c>
      <x:c r="H566" s="13" t="str">
        <x:v>选项人数/该题有效答卷数</x:v>
      </x:c>
      <x:c r="I566" s="2" t="str">
        <x:v>数值版 Sheet1!FG2:FG163</x:v>
      </x:c>
    </x:row>
    <x:row r="567" ht="30" customHeight="1">
      <x:c r="A567" s="2" t="str">
        <x:v>Q37</x:v>
      </x:c>
      <x:c r="B567" s="2" t="str">
        <x:v>多选</x:v>
      </x:c>
      <x:c r="C567" s="13" t="str">
        <x:v>单位预算安排</x:v>
      </x:c>
      <x:c r="D567" s="2" t="str">
        <x:v>选中</x:v>
      </x:c>
      <x:c r="E567" s="11" t="n">
        <x:v>148</x:v>
      </x:c>
      <x:c r="F567" s="11" t="n">
        <x:v>162</x:v>
      </x:c>
      <x:c r="G567" s="12" t="n">
        <x:f>IF(F567=0,"n.a.",E567/F567)</x:f>
        <x:v>0.9135802469135802</x:v>
      </x:c>
      <x:c r="H567" s="13" t="str">
        <x:v>多选：各选项比例之和可超过100%</x:v>
      </x:c>
      <x:c r="I567" s="2" t="str">
        <x:v>数值版 Sheet1!FH2:FL163</x:v>
      </x:c>
    </x:row>
    <x:row r="568" ht="30" customHeight="1">
      <x:c r="A568" s="2" t="str">
        <x:v>Q37</x:v>
      </x:c>
      <x:c r="B568" s="2" t="str">
        <x:v>多选</x:v>
      </x:c>
      <x:c r="C568" s="13" t="str">
        <x:v>单位预算安排</x:v>
      </x:c>
      <x:c r="D568" s="2" t="str">
        <x:v>未选中</x:v>
      </x:c>
      <x:c r="E568" s="11" t="n">
        <x:v>14</x:v>
      </x:c>
      <x:c r="F568" s="11" t="n">
        <x:v>162</x:v>
      </x:c>
      <x:c r="G568" s="12" t="n">
        <x:f>IF(F568=0,"n.a.",E568/F568)</x:f>
        <x:v>0.08641975308641975</x:v>
      </x:c>
      <x:c r="H568" s="13" t="str">
        <x:v>未选中不等于缺失</x:v>
      </x:c>
      <x:c r="I568" s="2" t="str">
        <x:v>数值版 Sheet1!FH2:FL163</x:v>
      </x:c>
    </x:row>
    <x:row r="569" ht="30" customHeight="1">
      <x:c r="A569" s="2" t="str">
        <x:v>Q37</x:v>
      </x:c>
      <x:c r="B569" s="2" t="str">
        <x:v>多选</x:v>
      </x:c>
      <x:c r="C569" s="13" t="str">
        <x:v>主管部门专项经费</x:v>
      </x:c>
      <x:c r="D569" s="2" t="str">
        <x:v>选中</x:v>
      </x:c>
      <x:c r="E569" s="11" t="n">
        <x:v>62</x:v>
      </x:c>
      <x:c r="F569" s="11" t="n">
        <x:v>162</x:v>
      </x:c>
      <x:c r="G569" s="12" t="n">
        <x:f>IF(F569=0,"n.a.",E569/F569)</x:f>
        <x:v>0.38271604938271603</x:v>
      </x:c>
      <x:c r="H569" s="13" t="str">
        <x:v>多选：各选项比例之和可超过100%</x:v>
      </x:c>
      <x:c r="I569" s="2" t="str">
        <x:v>数值版 Sheet1!FH2:FL163</x:v>
      </x:c>
    </x:row>
    <x:row r="570" ht="30" customHeight="1">
      <x:c r="A570" s="2" t="str">
        <x:v>Q37</x:v>
      </x:c>
      <x:c r="B570" s="2" t="str">
        <x:v>多选</x:v>
      </x:c>
      <x:c r="C570" s="13" t="str">
        <x:v>主管部门专项经费</x:v>
      </x:c>
      <x:c r="D570" s="2" t="str">
        <x:v>未选中</x:v>
      </x:c>
      <x:c r="E570" s="11" t="n">
        <x:v>100</x:v>
      </x:c>
      <x:c r="F570" s="11" t="n">
        <x:v>162</x:v>
      </x:c>
      <x:c r="G570" s="12" t="n">
        <x:f>IF(F570=0,"n.a.",E570/F570)</x:f>
        <x:v>0.6172839506172839</x:v>
      </x:c>
      <x:c r="H570" s="13" t="str">
        <x:v>未选中不等于缺失</x:v>
      </x:c>
      <x:c r="I570" s="2" t="str">
        <x:v>数值版 Sheet1!FH2:FL163</x:v>
      </x:c>
    </x:row>
    <x:row r="571" ht="30" customHeight="1">
      <x:c r="A571" s="2" t="str">
        <x:v>Q37</x:v>
      </x:c>
      <x:c r="B571" s="2" t="str">
        <x:v>多选</x:v>
      </x:c>
      <x:c r="C571" s="13" t="str">
        <x:v>学会/协会项目支持</x:v>
      </x:c>
      <x:c r="D571" s="2" t="str">
        <x:v>选中</x:v>
      </x:c>
      <x:c r="E571" s="11" t="n">
        <x:v>30</x:v>
      </x:c>
      <x:c r="F571" s="11" t="n">
        <x:v>162</x:v>
      </x:c>
      <x:c r="G571" s="12" t="n">
        <x:f>IF(F571=0,"n.a.",E571/F571)</x:f>
        <x:v>0.18518518518518517</x:v>
      </x:c>
      <x:c r="H571" s="13" t="str">
        <x:v>多选：各选项比例之和可超过100%</x:v>
      </x:c>
      <x:c r="I571" s="2" t="str">
        <x:v>数值版 Sheet1!FH2:FL163</x:v>
      </x:c>
    </x:row>
    <x:row r="572" ht="30" customHeight="1">
      <x:c r="A572" s="2" t="str">
        <x:v>Q37</x:v>
      </x:c>
      <x:c r="B572" s="2" t="str">
        <x:v>多选</x:v>
      </x:c>
      <x:c r="C572" s="13" t="str">
        <x:v>学会/协会项目支持</x:v>
      </x:c>
      <x:c r="D572" s="2" t="str">
        <x:v>未选中</x:v>
      </x:c>
      <x:c r="E572" s="11" t="n">
        <x:v>132</x:v>
      </x:c>
      <x:c r="F572" s="11" t="n">
        <x:v>162</x:v>
      </x:c>
      <x:c r="G572" s="12" t="n">
        <x:f>IF(F572=0,"n.a.",E572/F572)</x:f>
        <x:v>0.8148148148148148</x:v>
      </x:c>
      <x:c r="H572" s="13" t="str">
        <x:v>未选中不等于缺失</x:v>
      </x:c>
      <x:c r="I572" s="2" t="str">
        <x:v>数值版 Sheet1!FH2:FL163</x:v>
      </x:c>
    </x:row>
    <x:row r="573" ht="30" customHeight="1">
      <x:c r="A573" s="2" t="str">
        <x:v>Q37</x:v>
      </x:c>
      <x:c r="B573" s="2" t="str">
        <x:v>多选</x:v>
      </x:c>
      <x:c r="C573" s="13" t="str">
        <x:v>个人承担</x:v>
      </x:c>
      <x:c r="D573" s="2" t="str">
        <x:v>选中</x:v>
      </x:c>
      <x:c r="E573" s="11" t="n">
        <x:v>33</x:v>
      </x:c>
      <x:c r="F573" s="11" t="n">
        <x:v>162</x:v>
      </x:c>
      <x:c r="G573" s="12" t="n">
        <x:f>IF(F573=0,"n.a.",E573/F573)</x:f>
        <x:v>0.2037037037037037</x:v>
      </x:c>
      <x:c r="H573" s="13" t="str">
        <x:v>多选：各选项比例之和可超过100%</x:v>
      </x:c>
      <x:c r="I573" s="2" t="str">
        <x:v>数值版 Sheet1!FH2:FL163</x:v>
      </x:c>
    </x:row>
    <x:row r="574" ht="30" customHeight="1">
      <x:c r="A574" s="2" t="str">
        <x:v>Q37</x:v>
      </x:c>
      <x:c r="B574" s="2" t="str">
        <x:v>多选</x:v>
      </x:c>
      <x:c r="C574" s="13" t="str">
        <x:v>个人承担</x:v>
      </x:c>
      <x:c r="D574" s="2" t="str">
        <x:v>未选中</x:v>
      </x:c>
      <x:c r="E574" s="11" t="n">
        <x:v>129</x:v>
      </x:c>
      <x:c r="F574" s="11" t="n">
        <x:v>162</x:v>
      </x:c>
      <x:c r="G574" s="12" t="n">
        <x:f>IF(F574=0,"n.a.",E574/F574)</x:f>
        <x:v>0.7962962962962963</x:v>
      </x:c>
      <x:c r="H574" s="13" t="str">
        <x:v>未选中不等于缺失</x:v>
      </x:c>
      <x:c r="I574" s="2" t="str">
        <x:v>数值版 Sheet1!FH2:FL163</x:v>
      </x:c>
    </x:row>
    <x:row r="575" ht="30" customHeight="1">
      <x:c r="A575" s="2" t="str">
        <x:v>Q37</x:v>
      </x:c>
      <x:c r="B575" s="2" t="str">
        <x:v>多选</x:v>
      </x:c>
      <x:c r="C575" s="13" t="str">
        <x:v>其他</x:v>
      </x:c>
      <x:c r="D575" s="2" t="str">
        <x:v>选中</x:v>
      </x:c>
      <x:c r="E575" s="11" t="n">
        <x:v>2</x:v>
      </x:c>
      <x:c r="F575" s="11" t="n">
        <x:v>162</x:v>
      </x:c>
      <x:c r="G575" s="12" t="n">
        <x:f>IF(F575=0,"n.a.",E575/F575)</x:f>
        <x:v>0.012345679012345678</x:v>
      </x:c>
      <x:c r="H575" s="13" t="str">
        <x:v>多选：各选项比例之和可超过100%</x:v>
      </x:c>
      <x:c r="I575" s="2" t="str">
        <x:v>数值版 Sheet1!FH2:FL163</x:v>
      </x:c>
    </x:row>
    <x:row r="576" ht="30" customHeight="1">
      <x:c r="A576" s="2" t="str">
        <x:v>Q37</x:v>
      </x:c>
      <x:c r="B576" s="2" t="str">
        <x:v>多选</x:v>
      </x:c>
      <x:c r="C576" s="13" t="str">
        <x:v>其他</x:v>
      </x:c>
      <x:c r="D576" s="2" t="str">
        <x:v>未选中</x:v>
      </x:c>
      <x:c r="E576" s="11" t="n">
        <x:v>160</x:v>
      </x:c>
      <x:c r="F576" s="11" t="n">
        <x:v>162</x:v>
      </x:c>
      <x:c r="G576" s="12" t="n">
        <x:f>IF(F576=0,"n.a.",E576/F576)</x:f>
        <x:v>0.9876543209876543</x:v>
      </x:c>
      <x:c r="H576" s="13" t="str">
        <x:v>未选中不等于缺失</x:v>
      </x:c>
      <x:c r="I576" s="2" t="str">
        <x:v>数值版 Sheet1!FH2:FL163</x:v>
      </x:c>
    </x:row>
    <x:row r="577" ht="30" customHeight="1">
      <x:c r="A577" s="2" t="str">
        <x:v>Q38</x:v>
      </x:c>
      <x:c r="B577" s="2" t="str">
        <x:v>前三排序</x:v>
      </x:c>
      <x:c r="C577" s="13" t="str">
        <x:v>纳入卫生健康人才发展规划</x:v>
      </x:c>
      <x:c r="D577" s="2" t="str">
        <x:v>第1名</x:v>
      </x:c>
      <x:c r="E577" s="11" t="n">
        <x:v>72</x:v>
      </x:c>
      <x:c r="F577" s="11" t="n">
        <x:v>162</x:v>
      </x:c>
      <x:c r="G577" s="12" t="n">
        <x:f>IF(F577=0,"n.a.",E577/F577)</x:f>
        <x:v>0.4444444444444444</x:v>
      </x:c>
      <x:c r="H577" s="13" t="str">
        <x:v>首选和前三入选分别统计；0=未进入前三</x:v>
      </x:c>
      <x:c r="I577" s="2" t="str">
        <x:v>数值版 Sheet1!FM2:FS163</x:v>
      </x:c>
    </x:row>
    <x:row r="578" ht="30" customHeight="1">
      <x:c r="A578" s="2" t="str">
        <x:v>Q38</x:v>
      </x:c>
      <x:c r="B578" s="2" t="str">
        <x:v>前三排序</x:v>
      </x:c>
      <x:c r="C578" s="13" t="str">
        <x:v>纳入卫生健康人才发展规划</x:v>
      </x:c>
      <x:c r="D578" s="2" t="str">
        <x:v>第2名</x:v>
      </x:c>
      <x:c r="E578" s="11" t="n">
        <x:v>27</x:v>
      </x:c>
      <x:c r="F578" s="11" t="n">
        <x:v>162</x:v>
      </x:c>
      <x:c r="G578" s="12" t="n">
        <x:f>IF(F578=0,"n.a.",E578/F578)</x:f>
        <x:v>0.16666666666666666</x:v>
      </x:c>
      <x:c r="H578" s="13" t="str">
        <x:v>首选和前三入选分别统计；0=未进入前三</x:v>
      </x:c>
      <x:c r="I578" s="2" t="str">
        <x:v>数值版 Sheet1!FM2:FS163</x:v>
      </x:c>
    </x:row>
    <x:row r="579" ht="30" customHeight="1">
      <x:c r="A579" s="2" t="str">
        <x:v>Q38</x:v>
      </x:c>
      <x:c r="B579" s="2" t="str">
        <x:v>前三排序</x:v>
      </x:c>
      <x:c r="C579" s="13" t="str">
        <x:v>纳入卫生健康人才发展规划</x:v>
      </x:c>
      <x:c r="D579" s="2" t="str">
        <x:v>第3名</x:v>
      </x:c>
      <x:c r="E579" s="11" t="n">
        <x:v>21</x:v>
      </x:c>
      <x:c r="F579" s="11" t="n">
        <x:v>162</x:v>
      </x:c>
      <x:c r="G579" s="12" t="n">
        <x:f>IF(F579=0,"n.a.",E579/F579)</x:f>
        <x:v>0.12962962962962962</x:v>
      </x:c>
      <x:c r="H579" s="13" t="str">
        <x:v>首选和前三入选分别统计；0=未进入前三</x:v>
      </x:c>
      <x:c r="I579" s="2" t="str">
        <x:v>数值版 Sheet1!FM2:FS163</x:v>
      </x:c>
    </x:row>
    <x:row r="580" ht="30" customHeight="1">
      <x:c r="A580" s="2" t="str">
        <x:v>Q38</x:v>
      </x:c>
      <x:c r="B580" s="2" t="str">
        <x:v>前三排序</x:v>
      </x:c>
      <x:c r="C580" s="13" t="str">
        <x:v>纳入卫生健康人才发展规划</x:v>
      </x:c>
      <x:c r="D580" s="2" t="str">
        <x:v>未入前三</x:v>
      </x:c>
      <x:c r="E580" s="11" t="n">
        <x:v>42</x:v>
      </x:c>
      <x:c r="F580" s="11" t="n">
        <x:v>162</x:v>
      </x:c>
      <x:c r="G580" s="12" t="n">
        <x:f>IF(F580=0,"n.a.",E580/F580)</x:f>
        <x:v>0.25925925925925924</x:v>
      </x:c>
      <x:c r="H580" s="13" t="str">
        <x:v>未入前三不等于缺失</x:v>
      </x:c>
      <x:c r="I580" s="2" t="str">
        <x:v>数值版 Sheet1!FM2:FS163</x:v>
      </x:c>
    </x:row>
    <x:row r="581" ht="30" customHeight="1">
      <x:c r="A581" s="2" t="str">
        <x:v>Q38</x:v>
      </x:c>
      <x:c r="B581" s="2" t="str">
        <x:v>前三排序</x:v>
      </x:c>
      <x:c r="C581" s="13" t="str">
        <x:v>设立专项培养经费</x:v>
      </x:c>
      <x:c r="D581" s="2" t="str">
        <x:v>第1名</x:v>
      </x:c>
      <x:c r="E581" s="11" t="n">
        <x:v>33</x:v>
      </x:c>
      <x:c r="F581" s="11" t="n">
        <x:v>162</x:v>
      </x:c>
      <x:c r="G581" s="12" t="n">
        <x:f>IF(F581=0,"n.a.",E581/F581)</x:f>
        <x:v>0.2037037037037037</x:v>
      </x:c>
      <x:c r="H581" s="13" t="str">
        <x:v>首选和前三入选分别统计；0=未进入前三</x:v>
      </x:c>
      <x:c r="I581" s="2" t="str">
        <x:v>数值版 Sheet1!FM2:FS163</x:v>
      </x:c>
    </x:row>
    <x:row r="582" ht="30" customHeight="1">
      <x:c r="A582" s="2" t="str">
        <x:v>Q38</x:v>
      </x:c>
      <x:c r="B582" s="2" t="str">
        <x:v>前三排序</x:v>
      </x:c>
      <x:c r="C582" s="13" t="str">
        <x:v>设立专项培养经费</x:v>
      </x:c>
      <x:c r="D582" s="2" t="str">
        <x:v>第2名</x:v>
      </x:c>
      <x:c r="E582" s="11" t="n">
        <x:v>46</x:v>
      </x:c>
      <x:c r="F582" s="11" t="n">
        <x:v>162</x:v>
      </x:c>
      <x:c r="G582" s="12" t="n">
        <x:f>IF(F582=0,"n.a.",E582/F582)</x:f>
        <x:v>0.2839506172839506</x:v>
      </x:c>
      <x:c r="H582" s="13" t="str">
        <x:v>首选和前三入选分别统计；0=未进入前三</x:v>
      </x:c>
      <x:c r="I582" s="2" t="str">
        <x:v>数值版 Sheet1!FM2:FS163</x:v>
      </x:c>
    </x:row>
    <x:row r="583" ht="30" customHeight="1">
      <x:c r="A583" s="2" t="str">
        <x:v>Q38</x:v>
      </x:c>
      <x:c r="B583" s="2" t="str">
        <x:v>前三排序</x:v>
      </x:c>
      <x:c r="C583" s="13" t="str">
        <x:v>设立专项培养经费</x:v>
      </x:c>
      <x:c r="D583" s="2" t="str">
        <x:v>第3名</x:v>
      </x:c>
      <x:c r="E583" s="11" t="n">
        <x:v>27</x:v>
      </x:c>
      <x:c r="F583" s="11" t="n">
        <x:v>162</x:v>
      </x:c>
      <x:c r="G583" s="12" t="n">
        <x:f>IF(F583=0,"n.a.",E583/F583)</x:f>
        <x:v>0.16666666666666666</x:v>
      </x:c>
      <x:c r="H583" s="13" t="str">
        <x:v>首选和前三入选分别统计；0=未进入前三</x:v>
      </x:c>
      <x:c r="I583" s="2" t="str">
        <x:v>数值版 Sheet1!FM2:FS163</x:v>
      </x:c>
    </x:row>
    <x:row r="584" ht="30" customHeight="1">
      <x:c r="A584" s="2" t="str">
        <x:v>Q38</x:v>
      </x:c>
      <x:c r="B584" s="2" t="str">
        <x:v>前三排序</x:v>
      </x:c>
      <x:c r="C584" s="13" t="str">
        <x:v>设立专项培养经费</x:v>
      </x:c>
      <x:c r="D584" s="2" t="str">
        <x:v>未入前三</x:v>
      </x:c>
      <x:c r="E584" s="11" t="n">
        <x:v>56</x:v>
      </x:c>
      <x:c r="F584" s="11" t="n">
        <x:v>162</x:v>
      </x:c>
      <x:c r="G584" s="12" t="n">
        <x:f>IF(F584=0,"n.a.",E584/F584)</x:f>
        <x:v>0.345679012345679</x:v>
      </x:c>
      <x:c r="H584" s="13" t="str">
        <x:v>未入前三不等于缺失</x:v>
      </x:c>
      <x:c r="I584" s="2" t="str">
        <x:v>数值版 Sheet1!FM2:FS163</x:v>
      </x:c>
    </x:row>
    <x:row r="585" ht="30" customHeight="1">
      <x:c r="A585" s="2" t="str">
        <x:v>Q38</x:v>
      </x:c>
      <x:c r="B585" s="2" t="str">
        <x:v>前三排序</x:v>
      </x:c>
      <x:c r="C585" s="13" t="str">
        <x:v>学时学分认定与职称衔接</x:v>
      </x:c>
      <x:c r="D585" s="2" t="str">
        <x:v>第1名</x:v>
      </x:c>
      <x:c r="E585" s="11" t="n">
        <x:v>7</x:v>
      </x:c>
      <x:c r="F585" s="11" t="n">
        <x:v>162</x:v>
      </x:c>
      <x:c r="G585" s="12" t="n">
        <x:f>IF(F585=0,"n.a.",E585/F585)</x:f>
        <x:v>0.043209876543209874</x:v>
      </x:c>
      <x:c r="H585" s="13" t="str">
        <x:v>首选和前三入选分别统计；0=未进入前三</x:v>
      </x:c>
      <x:c r="I585" s="2" t="str">
        <x:v>数值版 Sheet1!FM2:FS163</x:v>
      </x:c>
    </x:row>
    <x:row r="586" ht="30" customHeight="1">
      <x:c r="A586" s="2" t="str">
        <x:v>Q38</x:v>
      </x:c>
      <x:c r="B586" s="2" t="str">
        <x:v>前三排序</x:v>
      </x:c>
      <x:c r="C586" s="13" t="str">
        <x:v>学时学分认定与职称衔接</x:v>
      </x:c>
      <x:c r="D586" s="2" t="str">
        <x:v>第2名</x:v>
      </x:c>
      <x:c r="E586" s="11" t="n">
        <x:v>14</x:v>
      </x:c>
      <x:c r="F586" s="11" t="n">
        <x:v>162</x:v>
      </x:c>
      <x:c r="G586" s="12" t="n">
        <x:f>IF(F586=0,"n.a.",E586/F586)</x:f>
        <x:v>0.08641975308641975</x:v>
      </x:c>
      <x:c r="H586" s="13" t="str">
        <x:v>首选和前三入选分别统计；0=未进入前三</x:v>
      </x:c>
      <x:c r="I586" s="2" t="str">
        <x:v>数值版 Sheet1!FM2:FS163</x:v>
      </x:c>
    </x:row>
    <x:row r="587" ht="30" customHeight="1">
      <x:c r="A587" s="2" t="str">
        <x:v>Q38</x:v>
      </x:c>
      <x:c r="B587" s="2" t="str">
        <x:v>前三排序</x:v>
      </x:c>
      <x:c r="C587" s="13" t="str">
        <x:v>学时学分认定与职称衔接</x:v>
      </x:c>
      <x:c r="D587" s="2" t="str">
        <x:v>第3名</x:v>
      </x:c>
      <x:c r="E587" s="11" t="n">
        <x:v>22</x:v>
      </x:c>
      <x:c r="F587" s="11" t="n">
        <x:v>162</x:v>
      </x:c>
      <x:c r="G587" s="12" t="n">
        <x:f>IF(F587=0,"n.a.",E587/F587)</x:f>
        <x:v>0.13580246913580246</x:v>
      </x:c>
      <x:c r="H587" s="13" t="str">
        <x:v>首选和前三入选分别统计；0=未进入前三</x:v>
      </x:c>
      <x:c r="I587" s="2" t="str">
        <x:v>数值版 Sheet1!FM2:FS163</x:v>
      </x:c>
    </x:row>
    <x:row r="588" ht="30" customHeight="1">
      <x:c r="A588" s="2" t="str">
        <x:v>Q38</x:v>
      </x:c>
      <x:c r="B588" s="2" t="str">
        <x:v>前三排序</x:v>
      </x:c>
      <x:c r="C588" s="13" t="str">
        <x:v>学时学分认定与职称衔接</x:v>
      </x:c>
      <x:c r="D588" s="2" t="str">
        <x:v>未入前三</x:v>
      </x:c>
      <x:c r="E588" s="11" t="n">
        <x:v>119</x:v>
      </x:c>
      <x:c r="F588" s="11" t="n">
        <x:v>162</x:v>
      </x:c>
      <x:c r="G588" s="12" t="n">
        <x:f>IF(F588=0,"n.a.",E588/F588)</x:f>
        <x:v>0.7345679012345679</x:v>
      </x:c>
      <x:c r="H588" s="13" t="str">
        <x:v>未入前三不等于缺失</x:v>
      </x:c>
      <x:c r="I588" s="2" t="str">
        <x:v>数值版 Sheet1!FM2:FS163</x:v>
      </x:c>
    </x:row>
    <x:row r="589" ht="30" customHeight="1">
      <x:c r="A589" s="2" t="str">
        <x:v>Q38</x:v>
      </x:c>
      <x:c r="B589" s="2" t="str">
        <x:v>前三排序</x:v>
      </x:c>
      <x:c r="C589" s="13" t="str">
        <x:v>高端人才计划倾斜</x:v>
      </x:c>
      <x:c r="D589" s="2" t="str">
        <x:v>第1名</x:v>
      </x:c>
      <x:c r="E589" s="11" t="n">
        <x:v>17</x:v>
      </x:c>
      <x:c r="F589" s="11" t="n">
        <x:v>162</x:v>
      </x:c>
      <x:c r="G589" s="12" t="n">
        <x:f>IF(F589=0,"n.a.",E589/F589)</x:f>
        <x:v>0.10493827160493827</x:v>
      </x:c>
      <x:c r="H589" s="13" t="str">
        <x:v>首选和前三入选分别统计；0=未进入前三</x:v>
      </x:c>
      <x:c r="I589" s="2" t="str">
        <x:v>数值版 Sheet1!FM2:FS163</x:v>
      </x:c>
    </x:row>
    <x:row r="590" ht="30" customHeight="1">
      <x:c r="A590" s="2" t="str">
        <x:v>Q38</x:v>
      </x:c>
      <x:c r="B590" s="2" t="str">
        <x:v>前三排序</x:v>
      </x:c>
      <x:c r="C590" s="13" t="str">
        <x:v>高端人才计划倾斜</x:v>
      </x:c>
      <x:c r="D590" s="2" t="str">
        <x:v>第2名</x:v>
      </x:c>
      <x:c r="E590" s="11" t="n">
        <x:v>23</x:v>
      </x:c>
      <x:c r="F590" s="11" t="n">
        <x:v>162</x:v>
      </x:c>
      <x:c r="G590" s="12" t="n">
        <x:f>IF(F590=0,"n.a.",E590/F590)</x:f>
        <x:v>0.1419753086419753</x:v>
      </x:c>
      <x:c r="H590" s="13" t="str">
        <x:v>首选和前三入选分别统计；0=未进入前三</x:v>
      </x:c>
      <x:c r="I590" s="2" t="str">
        <x:v>数值版 Sheet1!FM2:FS163</x:v>
      </x:c>
    </x:row>
    <x:row r="591" ht="30" customHeight="1">
      <x:c r="A591" s="2" t="str">
        <x:v>Q38</x:v>
      </x:c>
      <x:c r="B591" s="2" t="str">
        <x:v>前三排序</x:v>
      </x:c>
      <x:c r="C591" s="13" t="str">
        <x:v>高端人才计划倾斜</x:v>
      </x:c>
      <x:c r="D591" s="2" t="str">
        <x:v>第3名</x:v>
      </x:c>
      <x:c r="E591" s="11" t="n">
        <x:v>28</x:v>
      </x:c>
      <x:c r="F591" s="11" t="n">
        <x:v>162</x:v>
      </x:c>
      <x:c r="G591" s="12" t="n">
        <x:f>IF(F591=0,"n.a.",E591/F591)</x:f>
        <x:v>0.1728395061728395</x:v>
      </x:c>
      <x:c r="H591" s="13" t="str">
        <x:v>首选和前三入选分别统计；0=未进入前三</x:v>
      </x:c>
      <x:c r="I591" s="2" t="str">
        <x:v>数值版 Sheet1!FM2:FS163</x:v>
      </x:c>
    </x:row>
    <x:row r="592" ht="30" customHeight="1">
      <x:c r="A592" s="2" t="str">
        <x:v>Q38</x:v>
      </x:c>
      <x:c r="B592" s="2" t="str">
        <x:v>前三排序</x:v>
      </x:c>
      <x:c r="C592" s="13" t="str">
        <x:v>高端人才计划倾斜</x:v>
      </x:c>
      <x:c r="D592" s="2" t="str">
        <x:v>未入前三</x:v>
      </x:c>
      <x:c r="E592" s="11" t="n">
        <x:v>94</x:v>
      </x:c>
      <x:c r="F592" s="11" t="n">
        <x:v>162</x:v>
      </x:c>
      <x:c r="G592" s="12" t="n">
        <x:f>IF(F592=0,"n.a.",E592/F592)</x:f>
        <x:v>0.5802469135802469</x:v>
      </x:c>
      <x:c r="H592" s="13" t="str">
        <x:v>未入前三不等于缺失</x:v>
      </x:c>
      <x:c r="I592" s="2" t="str">
        <x:v>数值版 Sheet1!FM2:FS163</x:v>
      </x:c>
    </x:row>
    <x:row r="593" ht="30" customHeight="1">
      <x:c r="A593" s="2" t="str">
        <x:v>Q38</x:v>
      </x:c>
      <x:c r="B593" s="2" t="str">
        <x:v>前三排序</x:v>
      </x:c>
      <x:c r="C593" s="13" t="str">
        <x:v>实训基地与师资库建设</x:v>
      </x:c>
      <x:c r="D593" s="2" t="str">
        <x:v>第1名</x:v>
      </x:c>
      <x:c r="E593" s="11" t="n">
        <x:v>9</x:v>
      </x:c>
      <x:c r="F593" s="11" t="n">
        <x:v>162</x:v>
      </x:c>
      <x:c r="G593" s="12" t="n">
        <x:f>IF(F593=0,"n.a.",E593/F593)</x:f>
        <x:v>0.05555555555555555</x:v>
      </x:c>
      <x:c r="H593" s="13" t="str">
        <x:v>首选和前三入选分别统计；0=未进入前三</x:v>
      </x:c>
      <x:c r="I593" s="2" t="str">
        <x:v>数值版 Sheet1!FM2:FS163</x:v>
      </x:c>
    </x:row>
    <x:row r="594" ht="30" customHeight="1">
      <x:c r="A594" s="2" t="str">
        <x:v>Q38</x:v>
      </x:c>
      <x:c r="B594" s="2" t="str">
        <x:v>前三排序</x:v>
      </x:c>
      <x:c r="C594" s="13" t="str">
        <x:v>实训基地与师资库建设</x:v>
      </x:c>
      <x:c r="D594" s="2" t="str">
        <x:v>第2名</x:v>
      </x:c>
      <x:c r="E594" s="11" t="n">
        <x:v>16</x:v>
      </x:c>
      <x:c r="F594" s="11" t="n">
        <x:v>162</x:v>
      </x:c>
      <x:c r="G594" s="12" t="n">
        <x:f>IF(F594=0,"n.a.",E594/F594)</x:f>
        <x:v>0.09876543209876543</x:v>
      </x:c>
      <x:c r="H594" s="13" t="str">
        <x:v>首选和前三入选分别统计；0=未进入前三</x:v>
      </x:c>
      <x:c r="I594" s="2" t="str">
        <x:v>数值版 Sheet1!FM2:FS163</x:v>
      </x:c>
    </x:row>
    <x:row r="595" ht="30" customHeight="1">
      <x:c r="A595" s="2" t="str">
        <x:v>Q38</x:v>
      </x:c>
      <x:c r="B595" s="2" t="str">
        <x:v>前三排序</x:v>
      </x:c>
      <x:c r="C595" s="13" t="str">
        <x:v>实训基地与师资库建设</x:v>
      </x:c>
      <x:c r="D595" s="2" t="str">
        <x:v>第3名</x:v>
      </x:c>
      <x:c r="E595" s="11" t="n">
        <x:v>17</x:v>
      </x:c>
      <x:c r="F595" s="11" t="n">
        <x:v>162</x:v>
      </x:c>
      <x:c r="G595" s="12" t="n">
        <x:f>IF(F595=0,"n.a.",E595/F595)</x:f>
        <x:v>0.10493827160493827</x:v>
      </x:c>
      <x:c r="H595" s="13" t="str">
        <x:v>首选和前三入选分别统计；0=未进入前三</x:v>
      </x:c>
      <x:c r="I595" s="2" t="str">
        <x:v>数值版 Sheet1!FM2:FS163</x:v>
      </x:c>
    </x:row>
    <x:row r="596" ht="30" customHeight="1">
      <x:c r="A596" s="2" t="str">
        <x:v>Q38</x:v>
      </x:c>
      <x:c r="B596" s="2" t="str">
        <x:v>前三排序</x:v>
      </x:c>
      <x:c r="C596" s="13" t="str">
        <x:v>实训基地与师资库建设</x:v>
      </x:c>
      <x:c r="D596" s="2" t="str">
        <x:v>未入前三</x:v>
      </x:c>
      <x:c r="E596" s="11" t="n">
        <x:v>120</x:v>
      </x:c>
      <x:c r="F596" s="11" t="n">
        <x:v>162</x:v>
      </x:c>
      <x:c r="G596" s="12" t="n">
        <x:f>IF(F596=0,"n.a.",E596/F596)</x:f>
        <x:v>0.7407407407407407</x:v>
      </x:c>
      <x:c r="H596" s="13" t="str">
        <x:v>未入前三不等于缺失</x:v>
      </x:c>
      <x:c r="I596" s="2" t="str">
        <x:v>数值版 Sheet1!FM2:FS163</x:v>
      </x:c>
    </x:row>
    <x:row r="597" ht="30" customHeight="1">
      <x:c r="A597" s="2" t="str">
        <x:v>Q38</x:v>
      </x:c>
      <x:c r="B597" s="2" t="str">
        <x:v>前三排序</x:v>
      </x:c>
      <x:c r="C597" s="13" t="str">
        <x:v>岗位设置与编制保障</x:v>
      </x:c>
      <x:c r="D597" s="2" t="str">
        <x:v>第1名</x:v>
      </x:c>
      <x:c r="E597" s="11" t="n">
        <x:v>11</x:v>
      </x:c>
      <x:c r="F597" s="11" t="n">
        <x:v>162</x:v>
      </x:c>
      <x:c r="G597" s="12" t="n">
        <x:f>IF(F597=0,"n.a.",E597/F597)</x:f>
        <x:v>0.06790123456790123</x:v>
      </x:c>
      <x:c r="H597" s="13" t="str">
        <x:v>首选和前三入选分别统计；0=未进入前三</x:v>
      </x:c>
      <x:c r="I597" s="2" t="str">
        <x:v>数值版 Sheet1!FM2:FS163</x:v>
      </x:c>
    </x:row>
    <x:row r="598" ht="30" customHeight="1">
      <x:c r="A598" s="2" t="str">
        <x:v>Q38</x:v>
      </x:c>
      <x:c r="B598" s="2" t="str">
        <x:v>前三排序</x:v>
      </x:c>
      <x:c r="C598" s="13" t="str">
        <x:v>岗位设置与编制保障</x:v>
      </x:c>
      <x:c r="D598" s="2" t="str">
        <x:v>第2名</x:v>
      </x:c>
      <x:c r="E598" s="11" t="n">
        <x:v>16</x:v>
      </x:c>
      <x:c r="F598" s="11" t="n">
        <x:v>162</x:v>
      </x:c>
      <x:c r="G598" s="12" t="n">
        <x:f>IF(F598=0,"n.a.",E598/F598)</x:f>
        <x:v>0.09876543209876543</x:v>
      </x:c>
      <x:c r="H598" s="13" t="str">
        <x:v>首选和前三入选分别统计；0=未进入前三</x:v>
      </x:c>
      <x:c r="I598" s="2" t="str">
        <x:v>数值版 Sheet1!FM2:FS163</x:v>
      </x:c>
    </x:row>
    <x:row r="599" ht="30" customHeight="1">
      <x:c r="A599" s="2" t="str">
        <x:v>Q38</x:v>
      </x:c>
      <x:c r="B599" s="2" t="str">
        <x:v>前三排序</x:v>
      </x:c>
      <x:c r="C599" s="13" t="str">
        <x:v>岗位设置与编制保障</x:v>
      </x:c>
      <x:c r="D599" s="2" t="str">
        <x:v>第3名</x:v>
      </x:c>
      <x:c r="E599" s="11" t="n">
        <x:v>20</x:v>
      </x:c>
      <x:c r="F599" s="11" t="n">
        <x:v>162</x:v>
      </x:c>
      <x:c r="G599" s="12" t="n">
        <x:f>IF(F599=0,"n.a.",E599/F599)</x:f>
        <x:v>0.12345679012345678</x:v>
      </x:c>
      <x:c r="H599" s="13" t="str">
        <x:v>首选和前三入选分别统计；0=未进入前三</x:v>
      </x:c>
      <x:c r="I599" s="2" t="str">
        <x:v>数值版 Sheet1!FM2:FS163</x:v>
      </x:c>
    </x:row>
    <x:row r="600" ht="30" customHeight="1">
      <x:c r="A600" s="2" t="str">
        <x:v>Q38</x:v>
      </x:c>
      <x:c r="B600" s="2" t="str">
        <x:v>前三排序</x:v>
      </x:c>
      <x:c r="C600" s="13" t="str">
        <x:v>岗位设置与编制保障</x:v>
      </x:c>
      <x:c r="D600" s="2" t="str">
        <x:v>未入前三</x:v>
      </x:c>
      <x:c r="E600" s="11" t="n">
        <x:v>115</x:v>
      </x:c>
      <x:c r="F600" s="11" t="n">
        <x:v>162</x:v>
      </x:c>
      <x:c r="G600" s="12" t="n">
        <x:f>IF(F600=0,"n.a.",E600/F600)</x:f>
        <x:v>0.7098765432098766</x:v>
      </x:c>
      <x:c r="H600" s="13" t="str">
        <x:v>未入前三不等于缺失</x:v>
      </x:c>
      <x:c r="I600" s="2" t="str">
        <x:v>数值版 Sheet1!FM2:FS163</x:v>
      </x:c>
    </x:row>
    <x:row r="601" ht="30" customHeight="1">
      <x:c r="A601" s="2" t="str">
        <x:v>Q38</x:v>
      </x:c>
      <x:c r="B601" s="2" t="str">
        <x:v>前三排序</x:v>
      </x:c>
      <x:c r="C601" s="13" t="str">
        <x:v>薪酬激励政策</x:v>
      </x:c>
      <x:c r="D601" s="2" t="str">
        <x:v>第1名</x:v>
      </x:c>
      <x:c r="E601" s="11" t="n">
        <x:v>13</x:v>
      </x:c>
      <x:c r="F601" s="11" t="n">
        <x:v>162</x:v>
      </x:c>
      <x:c r="G601" s="12" t="n">
        <x:f>IF(F601=0,"n.a.",E601/F601)</x:f>
        <x:v>0.08024691358024691</x:v>
      </x:c>
      <x:c r="H601" s="13" t="str">
        <x:v>首选和前三入选分别统计；0=未进入前三</x:v>
      </x:c>
      <x:c r="I601" s="2" t="str">
        <x:v>数值版 Sheet1!FM2:FS163</x:v>
      </x:c>
    </x:row>
    <x:row r="602" ht="30" customHeight="1">
      <x:c r="A602" s="2" t="str">
        <x:v>Q38</x:v>
      </x:c>
      <x:c r="B602" s="2" t="str">
        <x:v>前三排序</x:v>
      </x:c>
      <x:c r="C602" s="13" t="str">
        <x:v>薪酬激励政策</x:v>
      </x:c>
      <x:c r="D602" s="2" t="str">
        <x:v>第2名</x:v>
      </x:c>
      <x:c r="E602" s="11" t="n">
        <x:v>20</x:v>
      </x:c>
      <x:c r="F602" s="11" t="n">
        <x:v>162</x:v>
      </x:c>
      <x:c r="G602" s="12" t="n">
        <x:f>IF(F602=0,"n.a.",E602/F602)</x:f>
        <x:v>0.12345679012345678</x:v>
      </x:c>
      <x:c r="H602" s="13" t="str">
        <x:v>首选和前三入选分别统计；0=未进入前三</x:v>
      </x:c>
      <x:c r="I602" s="2" t="str">
        <x:v>数值版 Sheet1!FM2:FS163</x:v>
      </x:c>
    </x:row>
    <x:row r="603" ht="30" customHeight="1">
      <x:c r="A603" s="2" t="str">
        <x:v>Q38</x:v>
      </x:c>
      <x:c r="B603" s="2" t="str">
        <x:v>前三排序</x:v>
      </x:c>
      <x:c r="C603" s="13" t="str">
        <x:v>薪酬激励政策</x:v>
      </x:c>
      <x:c r="D603" s="2" t="str">
        <x:v>第3名</x:v>
      </x:c>
      <x:c r="E603" s="11" t="n">
        <x:v>27</x:v>
      </x:c>
      <x:c r="F603" s="11" t="n">
        <x:v>162</x:v>
      </x:c>
      <x:c r="G603" s="12" t="n">
        <x:f>IF(F603=0,"n.a.",E603/F603)</x:f>
        <x:v>0.16666666666666666</x:v>
      </x:c>
      <x:c r="H603" s="13" t="str">
        <x:v>首选和前三入选分别统计；0=未进入前三</x:v>
      </x:c>
      <x:c r="I603" s="2" t="str">
        <x:v>数值版 Sheet1!FM2:FS163</x:v>
      </x:c>
    </x:row>
    <x:row r="604" ht="30" customHeight="1">
      <x:c r="A604" s="2" t="str">
        <x:v>Q38</x:v>
      </x:c>
      <x:c r="B604" s="2" t="str">
        <x:v>前三排序</x:v>
      </x:c>
      <x:c r="C604" s="13" t="str">
        <x:v>薪酬激励政策</x:v>
      </x:c>
      <x:c r="D604" s="2" t="str">
        <x:v>未入前三</x:v>
      </x:c>
      <x:c r="E604" s="11" t="n">
        <x:v>102</x:v>
      </x:c>
      <x:c r="F604" s="11" t="n">
        <x:v>162</x:v>
      </x:c>
      <x:c r="G604" s="12" t="n">
        <x:f>IF(F604=0,"n.a.",E604/F604)</x:f>
        <x:v>0.6296296296296297</x:v>
      </x:c>
      <x:c r="H604" s="13" t="str">
        <x:v>未入前三不等于缺失</x:v>
      </x:c>
      <x:c r="I604" s="2" t="str">
        <x:v>数值版 Sheet1!FM2:FS163</x:v>
      </x:c>
    </x:row>
    <x:row r="605" ht="30" customHeight="1">
      <x:c r="A605" s="2" t="str">
        <x:v>Q39</x:v>
      </x:c>
      <x:c r="B605" s="2" t="str">
        <x:v>是非矩阵</x:v>
      </x:c>
      <x:c r="C605" s="13" t="str">
        <x:v>成立人才培养领导小组</x:v>
      </x:c>
      <x:c r="D605" s="2" t="str">
        <x:v>是</x:v>
      </x:c>
      <x:c r="E605" s="11" t="n">
        <x:v>47</x:v>
      </x:c>
      <x:c r="F605" s="11" t="n">
        <x:v>162</x:v>
      </x:c>
      <x:c r="G605" s="12" t="n">
        <x:f>IF(F605=0,"n.a.",E605/F605)</x:f>
        <x:v>0.29012345679012347</x:v>
      </x:c>
      <x:c r="H605" s="13" t="str">
        <x:v>子项有效答卷为分母</x:v>
      </x:c>
      <x:c r="I605" s="2" t="str">
        <x:v>数值版 Sheet1!FT2:FW163</x:v>
      </x:c>
    </x:row>
    <x:row r="606" ht="30" customHeight="1">
      <x:c r="A606" s="2" t="str">
        <x:v>Q39</x:v>
      </x:c>
      <x:c r="B606" s="2" t="str">
        <x:v>是非矩阵</x:v>
      </x:c>
      <x:c r="C606" s="13" t="str">
        <x:v>成立人才培养领导小组</x:v>
      </x:c>
      <x:c r="D606" s="2" t="str">
        <x:v>否</x:v>
      </x:c>
      <x:c r="E606" s="11" t="n">
        <x:v>115</x:v>
      </x:c>
      <x:c r="F606" s="11" t="n">
        <x:v>162</x:v>
      </x:c>
      <x:c r="G606" s="12" t="n">
        <x:f>IF(F606=0,"n.a.",E606/F606)</x:f>
        <x:v>0.7098765432098766</x:v>
      </x:c>
      <x:c r="H606" s="13" t="str">
        <x:v>子项有效答卷为分母</x:v>
      </x:c>
      <x:c r="I606" s="2" t="str">
        <x:v>数值版 Sheet1!FT2:FW163</x:v>
      </x:c>
    </x:row>
    <x:row r="607" ht="30" customHeight="1">
      <x:c r="A607" s="2" t="str">
        <x:v>Q39</x:v>
      </x:c>
      <x:c r="B607" s="2" t="str">
        <x:v>是非矩阵</x:v>
      </x:c>
      <x:c r="C607" s="13" t="str">
        <x:v>明确人才培养归口管理部门</x:v>
      </x:c>
      <x:c r="D607" s="2" t="str">
        <x:v>是</x:v>
      </x:c>
      <x:c r="E607" s="11" t="n">
        <x:v>91</x:v>
      </x:c>
      <x:c r="F607" s="11" t="n">
        <x:v>162</x:v>
      </x:c>
      <x:c r="G607" s="12" t="n">
        <x:f>IF(F607=0,"n.a.",E607/F607)</x:f>
        <x:v>0.5617283950617284</x:v>
      </x:c>
      <x:c r="H607" s="13" t="str">
        <x:v>子项有效答卷为分母</x:v>
      </x:c>
      <x:c r="I607" s="2" t="str">
        <x:v>数值版 Sheet1!FT2:FW163</x:v>
      </x:c>
    </x:row>
    <x:row r="608" ht="30" customHeight="1">
      <x:c r="A608" s="2" t="str">
        <x:v>Q39</x:v>
      </x:c>
      <x:c r="B608" s="2" t="str">
        <x:v>是非矩阵</x:v>
      </x:c>
      <x:c r="C608" s="13" t="str">
        <x:v>明确人才培养归口管理部门</x:v>
      </x:c>
      <x:c r="D608" s="2" t="str">
        <x:v>否</x:v>
      </x:c>
      <x:c r="E608" s="11" t="n">
        <x:v>71</x:v>
      </x:c>
      <x:c r="F608" s="11" t="n">
        <x:v>162</x:v>
      </x:c>
      <x:c r="G608" s="12" t="n">
        <x:f>IF(F608=0,"n.a.",E608/F608)</x:f>
        <x:v>0.4382716049382716</x:v>
      </x:c>
      <x:c r="H608" s="13" t="str">
        <x:v>子项有效答卷为分母</x:v>
      </x:c>
      <x:c r="I608" s="2" t="str">
        <x:v>数值版 Sheet1!FT2:FW163</x:v>
      </x:c>
    </x:row>
    <x:row r="609" ht="30" customHeight="1">
      <x:c r="A609" s="2" t="str">
        <x:v>Q39</x:v>
      </x:c>
      <x:c r="B609" s="2" t="str">
        <x:v>是非矩阵</x:v>
      </x:c>
      <x:c r="C609" s="13" t="str">
        <x:v>制定中长期人才培养规划</x:v>
      </x:c>
      <x:c r="D609" s="2" t="str">
        <x:v>是</x:v>
      </x:c>
      <x:c r="E609" s="11" t="n">
        <x:v>69</x:v>
      </x:c>
      <x:c r="F609" s="11" t="n">
        <x:v>162</x:v>
      </x:c>
      <x:c r="G609" s="12" t="n">
        <x:f>IF(F609=0,"n.a.",E609/F609)</x:f>
        <x:v>0.42592592592592593</x:v>
      </x:c>
      <x:c r="H609" s="13" t="str">
        <x:v>子项有效答卷为分母</x:v>
      </x:c>
      <x:c r="I609" s="2" t="str">
        <x:v>数值版 Sheet1!FT2:FW163</x:v>
      </x:c>
    </x:row>
    <x:row r="610" ht="30" customHeight="1">
      <x:c r="A610" s="2" t="str">
        <x:v>Q39</x:v>
      </x:c>
      <x:c r="B610" s="2" t="str">
        <x:v>是非矩阵</x:v>
      </x:c>
      <x:c r="C610" s="13" t="str">
        <x:v>制定中长期人才培养规划</x:v>
      </x:c>
      <x:c r="D610" s="2" t="str">
        <x:v>否</x:v>
      </x:c>
      <x:c r="E610" s="11" t="n">
        <x:v>93</x:v>
      </x:c>
      <x:c r="F610" s="11" t="n">
        <x:v>162</x:v>
      </x:c>
      <x:c r="G610" s="12" t="n">
        <x:f>IF(F610=0,"n.a.",E610/F610)</x:f>
        <x:v>0.5740740740740741</x:v>
      </x:c>
      <x:c r="H610" s="13" t="str">
        <x:v>子项有效答卷为分母</x:v>
      </x:c>
      <x:c r="I610" s="2" t="str">
        <x:v>数值版 Sheet1!FT2:FW163</x:v>
      </x:c>
    </x:row>
    <x:row r="611" ht="30" customHeight="1">
      <x:c r="A611" s="2" t="str">
        <x:v>Q39</x:v>
      </x:c>
      <x:c r="B611" s="2" t="str">
        <x:v>是非矩阵</x:v>
      </x:c>
      <x:c r="C611" s="13" t="str">
        <x:v>建立培养档案与学时台账</x:v>
      </x:c>
      <x:c r="D611" s="2" t="str">
        <x:v>是</x:v>
      </x:c>
      <x:c r="E611" s="11" t="n">
        <x:v>51</x:v>
      </x:c>
      <x:c r="F611" s="11" t="n">
        <x:v>162</x:v>
      </x:c>
      <x:c r="G611" s="12" t="n">
        <x:f>IF(F611=0,"n.a.",E611/F611)</x:f>
        <x:v>0.3148148148148148</x:v>
      </x:c>
      <x:c r="H611" s="13" t="str">
        <x:v>子项有效答卷为分母</x:v>
      </x:c>
      <x:c r="I611" s="2" t="str">
        <x:v>数值版 Sheet1!FT2:FW163</x:v>
      </x:c>
    </x:row>
    <x:row r="612" ht="30" customHeight="1">
      <x:c r="A612" s="2" t="str">
        <x:v>Q39</x:v>
      </x:c>
      <x:c r="B612" s="2" t="str">
        <x:v>是非矩阵</x:v>
      </x:c>
      <x:c r="C612" s="13" t="str">
        <x:v>建立培养档案与学时台账</x:v>
      </x:c>
      <x:c r="D612" s="2" t="str">
        <x:v>否</x:v>
      </x:c>
      <x:c r="E612" s="11" t="n">
        <x:v>111</x:v>
      </x:c>
      <x:c r="F612" s="11" t="n">
        <x:v>162</x:v>
      </x:c>
      <x:c r="G612" s="12" t="n">
        <x:f>IF(F612=0,"n.a.",E612/F612)</x:f>
        <x:v>0.6851851851851852</x:v>
      </x:c>
      <x:c r="H612" s="13" t="str">
        <x:v>子项有效答卷为分母</x:v>
      </x:c>
      <x:c r="I612" s="2" t="str">
        <x:v>数值版 Sheet1!FT2:FW163</x:v>
      </x:c>
    </x:row>
    <x:row r="613" ht="30" customHeight="1">
      <x:c r="A613" s="2" t="str">
        <x:v>Q40</x:v>
      </x:c>
      <x:c r="B613" s="2" t="str">
        <x:v>五级量表</x:v>
      </x:c>
      <x:c r="C613" s="13" t="str">
        <x:v>L1 在校培养阶段:夯实财务、医疗、管理、信息交叉基础知识</x:v>
      </x:c>
      <x:c r="D613" s="2" t="str">
        <x:v>1分</x:v>
      </x:c>
      <x:c r="E613" s="11" t="n">
        <x:v>1</x:v>
      </x:c>
      <x:c r="F613" s="11" t="n">
        <x:v>162</x:v>
      </x:c>
      <x:c r="G613" s="12" t="n">
        <x:f>IF(F613=0,"n.a.",E613/F613)</x:f>
        <x:v>0.006172839506172839</x:v>
      </x:c>
      <x:c r="H613" s="13" t="str">
        <x:v>Q22高分=差距大；Q35高分=通道畅通；其余按题意</x:v>
      </x:c>
      <x:c r="I613" s="2" t="str">
        <x:v>数值版 Sheet1!FX2:GA163</x:v>
      </x:c>
    </x:row>
    <x:row r="614" ht="30" customHeight="1">
      <x:c r="A614" s="2" t="str">
        <x:v>Q40</x:v>
      </x:c>
      <x:c r="B614" s="2" t="str">
        <x:v>五级量表</x:v>
      </x:c>
      <x:c r="C614" s="13" t="str">
        <x:v>L1 在校培养阶段:夯实财务、医疗、管理、信息交叉基础知识</x:v>
      </x:c>
      <x:c r="D614" s="2" t="str">
        <x:v>2分</x:v>
      </x:c>
      <x:c r="E614" s="11" t="n">
        <x:v>1</x:v>
      </x:c>
      <x:c r="F614" s="11" t="n">
        <x:v>162</x:v>
      </x:c>
      <x:c r="G614" s="12" t="n">
        <x:f>IF(F614=0,"n.a.",E614/F614)</x:f>
        <x:v>0.006172839506172839</x:v>
      </x:c>
      <x:c r="H614" s="13" t="str">
        <x:v>Q22高分=差距大；Q35高分=通道畅通；其余按题意</x:v>
      </x:c>
      <x:c r="I614" s="2" t="str">
        <x:v>数值版 Sheet1!FX2:GA163</x:v>
      </x:c>
    </x:row>
    <x:row r="615" ht="30" customHeight="1">
      <x:c r="A615" s="2" t="str">
        <x:v>Q40</x:v>
      </x:c>
      <x:c r="B615" s="2" t="str">
        <x:v>五级量表</x:v>
      </x:c>
      <x:c r="C615" s="13" t="str">
        <x:v>L1 在校培养阶段:夯实财务、医疗、管理、信息交叉基础知识</x:v>
      </x:c>
      <x:c r="D615" s="2" t="str">
        <x:v>3分</x:v>
      </x:c>
      <x:c r="E615" s="11" t="n">
        <x:v>11</x:v>
      </x:c>
      <x:c r="F615" s="11" t="n">
        <x:v>162</x:v>
      </x:c>
      <x:c r="G615" s="12" t="n">
        <x:f>IF(F615=0,"n.a.",E615/F615)</x:f>
        <x:v>0.06790123456790123</x:v>
      </x:c>
      <x:c r="H615" s="13" t="str">
        <x:v>Q22高分=差距大；Q35高分=通道畅通；其余按题意</x:v>
      </x:c>
      <x:c r="I615" s="2" t="str">
        <x:v>数值版 Sheet1!FX2:GA163</x:v>
      </x:c>
    </x:row>
    <x:row r="616" ht="30" customHeight="1">
      <x:c r="A616" s="2" t="str">
        <x:v>Q40</x:v>
      </x:c>
      <x:c r="B616" s="2" t="str">
        <x:v>五级量表</x:v>
      </x:c>
      <x:c r="C616" s="13" t="str">
        <x:v>L1 在校培养阶段:夯实财务、医疗、管理、信息交叉基础知识</x:v>
      </x:c>
      <x:c r="D616" s="2" t="str">
        <x:v>4分</x:v>
      </x:c>
      <x:c r="E616" s="11" t="n">
        <x:v>42</x:v>
      </x:c>
      <x:c r="F616" s="11" t="n">
        <x:v>162</x:v>
      </x:c>
      <x:c r="G616" s="12" t="n">
        <x:f>IF(F616=0,"n.a.",E616/F616)</x:f>
        <x:v>0.25925925925925924</x:v>
      </x:c>
      <x:c r="H616" s="13" t="str">
        <x:v>Q22高分=差距大；Q35高分=通道畅通；其余按题意</x:v>
      </x:c>
      <x:c r="I616" s="2" t="str">
        <x:v>数值版 Sheet1!FX2:GA163</x:v>
      </x:c>
    </x:row>
    <x:row r="617" ht="30" customHeight="1">
      <x:c r="A617" s="2" t="str">
        <x:v>Q40</x:v>
      </x:c>
      <x:c r="B617" s="2" t="str">
        <x:v>五级量表</x:v>
      </x:c>
      <x:c r="C617" s="13" t="str">
        <x:v>L1 在校培养阶段:夯实财务、医疗、管理、信息交叉基础知识</x:v>
      </x:c>
      <x:c r="D617" s="2" t="str">
        <x:v>5分</x:v>
      </x:c>
      <x:c r="E617" s="11" t="n">
        <x:v>107</x:v>
      </x:c>
      <x:c r="F617" s="11" t="n">
        <x:v>162</x:v>
      </x:c>
      <x:c r="G617" s="12" t="n">
        <x:f>IF(F617=0,"n.a.",E617/F617)</x:f>
        <x:v>0.6604938271604939</x:v>
      </x:c>
      <x:c r="H617" s="13" t="str">
        <x:v>Q22高分=差距大；Q35高分=通道畅通；其余按题意</x:v>
      </x:c>
      <x:c r="I617" s="2" t="str">
        <x:v>数值版 Sheet1!FX2:GA163</x:v>
      </x:c>
    </x:row>
    <x:row r="618" ht="30" customHeight="1">
      <x:c r="A618" s="2" t="str">
        <x:v>Q40</x:v>
      </x:c>
      <x:c r="B618" s="2" t="str">
        <x:v>五级量表</x:v>
      </x:c>
      <x:c r="C618" s="13" t="str">
        <x:v>L2 岗位适应阶段:通过跟岗实训、轮岗实现实务能力转化</x:v>
      </x:c>
      <x:c r="D618" s="2" t="str">
        <x:v>1分</x:v>
      </x:c>
      <x:c r="E618" s="11" t="n">
        <x:v>1</x:v>
      </x:c>
      <x:c r="F618" s="11" t="n">
        <x:v>162</x:v>
      </x:c>
      <x:c r="G618" s="12" t="n">
        <x:f>IF(F618=0,"n.a.",E618/F618)</x:f>
        <x:v>0.006172839506172839</x:v>
      </x:c>
      <x:c r="H618" s="13" t="str">
        <x:v>Q22高分=差距大；Q35高分=通道畅通；其余按题意</x:v>
      </x:c>
      <x:c r="I618" s="2" t="str">
        <x:v>数值版 Sheet1!FX2:GA163</x:v>
      </x:c>
    </x:row>
    <x:row r="619" ht="30" customHeight="1">
      <x:c r="A619" s="2" t="str">
        <x:v>Q40</x:v>
      </x:c>
      <x:c r="B619" s="2" t="str">
        <x:v>五级量表</x:v>
      </x:c>
      <x:c r="C619" s="13" t="str">
        <x:v>L2 岗位适应阶段:通过跟岗实训、轮岗实现实务能力转化</x:v>
      </x:c>
      <x:c r="D619" s="2" t="str">
        <x:v>2分</x:v>
      </x:c>
      <x:c r="E619" s="11" t="n">
        <x:v>1</x:v>
      </x:c>
      <x:c r="F619" s="11" t="n">
        <x:v>162</x:v>
      </x:c>
      <x:c r="G619" s="12" t="n">
        <x:f>IF(F619=0,"n.a.",E619/F619)</x:f>
        <x:v>0.006172839506172839</x:v>
      </x:c>
      <x:c r="H619" s="13" t="str">
        <x:v>Q22高分=差距大；Q35高分=通道畅通；其余按题意</x:v>
      </x:c>
      <x:c r="I619" s="2" t="str">
        <x:v>数值版 Sheet1!FX2:GA163</x:v>
      </x:c>
    </x:row>
    <x:row r="620" ht="30" customHeight="1">
      <x:c r="A620" s="2" t="str">
        <x:v>Q40</x:v>
      </x:c>
      <x:c r="B620" s="2" t="str">
        <x:v>五级量表</x:v>
      </x:c>
      <x:c r="C620" s="13" t="str">
        <x:v>L2 岗位适应阶段:通过跟岗实训、轮岗实现实务能力转化</x:v>
      </x:c>
      <x:c r="D620" s="2" t="str">
        <x:v>3分</x:v>
      </x:c>
      <x:c r="E620" s="11" t="n">
        <x:v>9</x:v>
      </x:c>
      <x:c r="F620" s="11" t="n">
        <x:v>162</x:v>
      </x:c>
      <x:c r="G620" s="12" t="n">
        <x:f>IF(F620=0,"n.a.",E620/F620)</x:f>
        <x:v>0.05555555555555555</x:v>
      </x:c>
      <x:c r="H620" s="13" t="str">
        <x:v>Q22高分=差距大；Q35高分=通道畅通；其余按题意</x:v>
      </x:c>
      <x:c r="I620" s="2" t="str">
        <x:v>数值版 Sheet1!FX2:GA163</x:v>
      </x:c>
    </x:row>
    <x:row r="621" ht="30" customHeight="1">
      <x:c r="A621" s="2" t="str">
        <x:v>Q40</x:v>
      </x:c>
      <x:c r="B621" s="2" t="str">
        <x:v>五级量表</x:v>
      </x:c>
      <x:c r="C621" s="13" t="str">
        <x:v>L2 岗位适应阶段:通过跟岗实训、轮岗实现实务能力转化</x:v>
      </x:c>
      <x:c r="D621" s="2" t="str">
        <x:v>4分</x:v>
      </x:c>
      <x:c r="E621" s="11" t="n">
        <x:v>36</x:v>
      </x:c>
      <x:c r="F621" s="11" t="n">
        <x:v>162</x:v>
      </x:c>
      <x:c r="G621" s="12" t="n">
        <x:f>IF(F621=0,"n.a.",E621/F621)</x:f>
        <x:v>0.2222222222222222</x:v>
      </x:c>
      <x:c r="H621" s="13" t="str">
        <x:v>Q22高分=差距大；Q35高分=通道畅通；其余按题意</x:v>
      </x:c>
      <x:c r="I621" s="2" t="str">
        <x:v>数值版 Sheet1!FX2:GA163</x:v>
      </x:c>
    </x:row>
    <x:row r="622" ht="30" customHeight="1">
      <x:c r="A622" s="2" t="str">
        <x:v>Q40</x:v>
      </x:c>
      <x:c r="B622" s="2" t="str">
        <x:v>五级量表</x:v>
      </x:c>
      <x:c r="C622" s="13" t="str">
        <x:v>L2 岗位适应阶段:通过跟岗实训、轮岗实现实务能力转化</x:v>
      </x:c>
      <x:c r="D622" s="2" t="str">
        <x:v>5分</x:v>
      </x:c>
      <x:c r="E622" s="11" t="n">
        <x:v>115</x:v>
      </x:c>
      <x:c r="F622" s="11" t="n">
        <x:v>162</x:v>
      </x:c>
      <x:c r="G622" s="12" t="n">
        <x:f>IF(F622=0,"n.a.",E622/F622)</x:f>
        <x:v>0.7098765432098766</x:v>
      </x:c>
      <x:c r="H622" s="13" t="str">
        <x:v>Q22高分=差距大；Q35高分=通道畅通；其余按题意</x:v>
      </x:c>
      <x:c r="I622" s="2" t="str">
        <x:v>数值版 Sheet1!FX2:GA163</x:v>
      </x:c>
    </x:row>
    <x:row r="623" ht="36" customHeight="1">
      <x:c r="A623" s="2" t="str">
        <x:v>Q40</x:v>
      </x:c>
      <x:c r="B623" s="2" t="str">
        <x:v>五级量表</x:v>
      </x:c>
      <x:c r="C623" s="13" t="str">
        <x:v>L3 能力提升阶段:围绕预算绩效、数智运营、合规风控等专项系统深化进修</x:v>
      </x:c>
      <x:c r="D623" s="2" t="str">
        <x:v>1分</x:v>
      </x:c>
      <x:c r="E623" s="11" t="n">
        <x:v>1</x:v>
      </x:c>
      <x:c r="F623" s="11" t="n">
        <x:v>162</x:v>
      </x:c>
      <x:c r="G623" s="12" t="n">
        <x:f>IF(F623=0,"n.a.",E623/F623)</x:f>
        <x:v>0.006172839506172839</x:v>
      </x:c>
      <x:c r="H623" s="13" t="str">
        <x:v>Q22高分=差距大；Q35高分=通道畅通；其余按题意</x:v>
      </x:c>
      <x:c r="I623" s="2" t="str">
        <x:v>数值版 Sheet1!FX2:GA163</x:v>
      </x:c>
    </x:row>
    <x:row r="624" ht="36" customHeight="1">
      <x:c r="A624" s="2" t="str">
        <x:v>Q40</x:v>
      </x:c>
      <x:c r="B624" s="2" t="str">
        <x:v>五级量表</x:v>
      </x:c>
      <x:c r="C624" s="13" t="str">
        <x:v>L3 能力提升阶段:围绕预算绩效、数智运营、合规风控等专项系统深化进修</x:v>
      </x:c>
      <x:c r="D624" s="2" t="str">
        <x:v>2分</x:v>
      </x:c>
      <x:c r="E624" s="11" t="n">
        <x:v>1</x:v>
      </x:c>
      <x:c r="F624" s="11" t="n">
        <x:v>162</x:v>
      </x:c>
      <x:c r="G624" s="12" t="n">
        <x:f>IF(F624=0,"n.a.",E624/F624)</x:f>
        <x:v>0.006172839506172839</x:v>
      </x:c>
      <x:c r="H624" s="13" t="str">
        <x:v>Q22高分=差距大；Q35高分=通道畅通；其余按题意</x:v>
      </x:c>
      <x:c r="I624" s="2" t="str">
        <x:v>数值版 Sheet1!FX2:GA163</x:v>
      </x:c>
    </x:row>
    <x:row r="625" ht="36" customHeight="1">
      <x:c r="A625" s="2" t="str">
        <x:v>Q40</x:v>
      </x:c>
      <x:c r="B625" s="2" t="str">
        <x:v>五级量表</x:v>
      </x:c>
      <x:c r="C625" s="13" t="str">
        <x:v>L3 能力提升阶段:围绕预算绩效、数智运营、合规风控等专项系统深化进修</x:v>
      </x:c>
      <x:c r="D625" s="2" t="str">
        <x:v>3分</x:v>
      </x:c>
      <x:c r="E625" s="11" t="n">
        <x:v>9</x:v>
      </x:c>
      <x:c r="F625" s="11" t="n">
        <x:v>162</x:v>
      </x:c>
      <x:c r="G625" s="12" t="n">
        <x:f>IF(F625=0,"n.a.",E625/F625)</x:f>
        <x:v>0.05555555555555555</x:v>
      </x:c>
      <x:c r="H625" s="13" t="str">
        <x:v>Q22高分=差距大；Q35高分=通道畅通；其余按题意</x:v>
      </x:c>
      <x:c r="I625" s="2" t="str">
        <x:v>数值版 Sheet1!FX2:GA163</x:v>
      </x:c>
    </x:row>
    <x:row r="626" ht="36" customHeight="1">
      <x:c r="A626" s="2" t="str">
        <x:v>Q40</x:v>
      </x:c>
      <x:c r="B626" s="2" t="str">
        <x:v>五级量表</x:v>
      </x:c>
      <x:c r="C626" s="13" t="str">
        <x:v>L3 能力提升阶段:围绕预算绩效、数智运营、合规风控等专项系统深化进修</x:v>
      </x:c>
      <x:c r="D626" s="2" t="str">
        <x:v>4分</x:v>
      </x:c>
      <x:c r="E626" s="11" t="n">
        <x:v>29</x:v>
      </x:c>
      <x:c r="F626" s="11" t="n">
        <x:v>162</x:v>
      </x:c>
      <x:c r="G626" s="12" t="n">
        <x:f>IF(F626=0,"n.a.",E626/F626)</x:f>
        <x:v>0.17901234567901234</x:v>
      </x:c>
      <x:c r="H626" s="13" t="str">
        <x:v>Q22高分=差距大；Q35高分=通道畅通；其余按题意</x:v>
      </x:c>
      <x:c r="I626" s="2" t="str">
        <x:v>数值版 Sheet1!FX2:GA163</x:v>
      </x:c>
    </x:row>
    <x:row r="627" ht="36" customHeight="1">
      <x:c r="A627" s="2" t="str">
        <x:v>Q40</x:v>
      </x:c>
      <x:c r="B627" s="2" t="str">
        <x:v>五级量表</x:v>
      </x:c>
      <x:c r="C627" s="13" t="str">
        <x:v>L3 能力提升阶段:围绕预算绩效、数智运营、合规风控等专项系统深化进修</x:v>
      </x:c>
      <x:c r="D627" s="2" t="str">
        <x:v>5分</x:v>
      </x:c>
      <x:c r="E627" s="11" t="n">
        <x:v>122</x:v>
      </x:c>
      <x:c r="F627" s="11" t="n">
        <x:v>162</x:v>
      </x:c>
      <x:c r="G627" s="12" t="n">
        <x:f>IF(F627=0,"n.a.",E627/F627)</x:f>
        <x:v>0.7530864197530864</x:v>
      </x:c>
      <x:c r="H627" s="13" t="str">
        <x:v>Q22高分=差距大；Q35高分=通道畅通；其余按题意</x:v>
      </x:c>
      <x:c r="I627" s="2" t="str">
        <x:v>数值版 Sheet1!FX2:GA163</x:v>
      </x:c>
    </x:row>
    <x:row r="628" ht="30" customHeight="1">
      <x:c r="A628" s="2" t="str">
        <x:v>Q40</x:v>
      </x:c>
      <x:c r="B628" s="2" t="str">
        <x:v>五级量表</x:v>
      </x:c>
      <x:c r="C628" s="13" t="str">
        <x:v>L4 领军人才阶段:提升战略思维与行业引领、穿透式监管能力</x:v>
      </x:c>
      <x:c r="D628" s="2" t="str">
        <x:v>1分</x:v>
      </x:c>
      <x:c r="E628" s="11" t="n">
        <x:v>1</x:v>
      </x:c>
      <x:c r="F628" s="11" t="n">
        <x:v>162</x:v>
      </x:c>
      <x:c r="G628" s="12" t="n">
        <x:f>IF(F628=0,"n.a.",E628/F628)</x:f>
        <x:v>0.006172839506172839</x:v>
      </x:c>
      <x:c r="H628" s="13" t="str">
        <x:v>Q22高分=差距大；Q35高分=通道畅通；其余按题意</x:v>
      </x:c>
      <x:c r="I628" s="2" t="str">
        <x:v>数值版 Sheet1!FX2:GA163</x:v>
      </x:c>
    </x:row>
    <x:row r="629" ht="30" customHeight="1">
      <x:c r="A629" s="2" t="str">
        <x:v>Q40</x:v>
      </x:c>
      <x:c r="B629" s="2" t="str">
        <x:v>五级量表</x:v>
      </x:c>
      <x:c r="C629" s="13" t="str">
        <x:v>L4 领军人才阶段:提升战略思维与行业引领、穿透式监管能力</x:v>
      </x:c>
      <x:c r="D629" s="2" t="str">
        <x:v>2分</x:v>
      </x:c>
      <x:c r="E629" s="11" t="n">
        <x:v>0</x:v>
      </x:c>
      <x:c r="F629" s="11" t="n">
        <x:v>162</x:v>
      </x:c>
      <x:c r="G629" s="12" t="n">
        <x:f>IF(F629=0,"n.a.",E629/F629)</x:f>
        <x:v>0</x:v>
      </x:c>
      <x:c r="H629" s="13" t="str">
        <x:v>Q22高分=差距大；Q35高分=通道畅通；其余按题意</x:v>
      </x:c>
      <x:c r="I629" s="2" t="str">
        <x:v>数值版 Sheet1!FX2:GA163</x:v>
      </x:c>
    </x:row>
    <x:row r="630" ht="30" customHeight="1">
      <x:c r="A630" s="2" t="str">
        <x:v>Q40</x:v>
      </x:c>
      <x:c r="B630" s="2" t="str">
        <x:v>五级量表</x:v>
      </x:c>
      <x:c r="C630" s="13" t="str">
        <x:v>L4 领军人才阶段:提升战略思维与行业引领、穿透式监管能力</x:v>
      </x:c>
      <x:c r="D630" s="2" t="str">
        <x:v>3分</x:v>
      </x:c>
      <x:c r="E630" s="11" t="n">
        <x:v>10</x:v>
      </x:c>
      <x:c r="F630" s="11" t="n">
        <x:v>162</x:v>
      </x:c>
      <x:c r="G630" s="12" t="n">
        <x:f>IF(F630=0,"n.a.",E630/F630)</x:f>
        <x:v>0.06172839506172839</x:v>
      </x:c>
      <x:c r="H630" s="13" t="str">
        <x:v>Q22高分=差距大；Q35高分=通道畅通；其余按题意</x:v>
      </x:c>
      <x:c r="I630" s="2" t="str">
        <x:v>数值版 Sheet1!FX2:GA163</x:v>
      </x:c>
    </x:row>
    <x:row r="631" ht="30" customHeight="1">
      <x:c r="A631" s="2" t="str">
        <x:v>Q40</x:v>
      </x:c>
      <x:c r="B631" s="2" t="str">
        <x:v>五级量表</x:v>
      </x:c>
      <x:c r="C631" s="13" t="str">
        <x:v>L4 领军人才阶段:提升战略思维与行业引领、穿透式监管能力</x:v>
      </x:c>
      <x:c r="D631" s="2" t="str">
        <x:v>4分</x:v>
      </x:c>
      <x:c r="E631" s="11" t="n">
        <x:v>32</x:v>
      </x:c>
      <x:c r="F631" s="11" t="n">
        <x:v>162</x:v>
      </x:c>
      <x:c r="G631" s="12" t="n">
        <x:f>IF(F631=0,"n.a.",E631/F631)</x:f>
        <x:v>0.19753086419753085</x:v>
      </x:c>
      <x:c r="H631" s="13" t="str">
        <x:v>Q22高分=差距大；Q35高分=通道畅通；其余按题意</x:v>
      </x:c>
      <x:c r="I631" s="2" t="str">
        <x:v>数值版 Sheet1!FX2:GA163</x:v>
      </x:c>
    </x:row>
    <x:row r="632" ht="30" customHeight="1">
      <x:c r="A632" s="2" t="str">
        <x:v>Q40</x:v>
      </x:c>
      <x:c r="B632" s="2" t="str">
        <x:v>五级量表</x:v>
      </x:c>
      <x:c r="C632" s="13" t="str">
        <x:v>L4 领军人才阶段:提升战略思维与行业引领、穿透式监管能力</x:v>
      </x:c>
      <x:c r="D632" s="2" t="str">
        <x:v>5分</x:v>
      </x:c>
      <x:c r="E632" s="11" t="n">
        <x:v>119</x:v>
      </x:c>
      <x:c r="F632" s="11" t="n">
        <x:v>162</x:v>
      </x:c>
      <x:c r="G632" s="12" t="n">
        <x:f>IF(F632=0,"n.a.",E632/F632)</x:f>
        <x:v>0.7345679012345679</x:v>
      </x:c>
      <x:c r="H632" s="13" t="str">
        <x:v>Q22高分=差距大；Q35高分=通道畅通；其余按题意</x:v>
      </x:c>
      <x:c r="I632" s="2" t="str">
        <x:v>数值版 Sheet1!FX2:GA163</x:v>
      </x:c>
    </x:row>
    <x:row r="633" ht="30" customHeight="1">
      <x:c r="A633" s="2" t="str">
        <x:v>Q41</x:v>
      </x:c>
      <x:c r="B633" s="2" t="str">
        <x:v>单选</x:v>
      </x:c>
      <x:c r="C633" s="13" t="str">
        <x:v>常态化开展</x:v>
      </x:c>
      <x:c r="D633" s="2" t="str">
        <x:v>1</x:v>
      </x:c>
      <x:c r="E633" s="11" t="n">
        <x:v>38</x:v>
      </x:c>
      <x:c r="F633" s="11" t="n">
        <x:v>162</x:v>
      </x:c>
      <x:c r="G633" s="12" t="n">
        <x:f>IF(F633=0,"n.a.",E633/F633)</x:f>
        <x:v>0.2345679012345679</x:v>
      </x:c>
      <x:c r="H633" s="13" t="str">
        <x:v>选项人数/该题有效答卷数</x:v>
      </x:c>
      <x:c r="I633" s="2" t="str">
        <x:v>数值版 Sheet1!GB2:GB163</x:v>
      </x:c>
    </x:row>
    <x:row r="634" ht="30" customHeight="1">
      <x:c r="A634" s="2" t="str">
        <x:v>Q41</x:v>
      </x:c>
      <x:c r="B634" s="2" t="str">
        <x:v>单选</x:v>
      </x:c>
      <x:c r="C634" s="13" t="str">
        <x:v>偶尔开展</x:v>
      </x:c>
      <x:c r="D634" s="2" t="str">
        <x:v>2</x:v>
      </x:c>
      <x:c r="E634" s="11" t="n">
        <x:v>80</x:v>
      </x:c>
      <x:c r="F634" s="11" t="n">
        <x:v>162</x:v>
      </x:c>
      <x:c r="G634" s="12" t="n">
        <x:f>IF(F634=0,"n.a.",E634/F634)</x:f>
        <x:v>0.49382716049382713</x:v>
      </x:c>
      <x:c r="H634" s="13" t="str">
        <x:v>选项人数/该题有效答卷数</x:v>
      </x:c>
      <x:c r="I634" s="2" t="str">
        <x:v>数值版 Sheet1!GB2:GB163</x:v>
      </x:c>
    </x:row>
    <x:row r="635" ht="30" customHeight="1">
      <x:c r="A635" s="2" t="str">
        <x:v>Q41</x:v>
      </x:c>
      <x:c r="B635" s="2" t="str">
        <x:v>单选</x:v>
      </x:c>
      <x:c r="C635" s="13" t="str">
        <x:v>从未开展</x:v>
      </x:c>
      <x:c r="D635" s="2" t="str">
        <x:v>3</x:v>
      </x:c>
      <x:c r="E635" s="11" t="n">
        <x:v>44</x:v>
      </x:c>
      <x:c r="F635" s="11" t="n">
        <x:v>162</x:v>
      </x:c>
      <x:c r="G635" s="12" t="n">
        <x:f>IF(F635=0,"n.a.",E635/F635)</x:f>
        <x:v>0.2716049382716049</x:v>
      </x:c>
      <x:c r="H635" s="13" t="str">
        <x:v>选项人数/该题有效答卷数</x:v>
      </x:c>
      <x:c r="I635" s="2" t="str">
        <x:v>数值版 Sheet1!GB2:GB163</x:v>
      </x:c>
    </x:row>
    <x:row r="636" ht="30" customHeight="1">
      <x:c r="A636" s="2" t="str">
        <x:v>Q42</x:v>
      </x:c>
      <x:c r="B636" s="2" t="str">
        <x:v>单选</x:v>
      </x:c>
      <x:c r="C636" s="13" t="str">
        <x:v>每年一轮</x:v>
      </x:c>
      <x:c r="D636" s="2" t="str">
        <x:v>1</x:v>
      </x:c>
      <x:c r="E636" s="11" t="n">
        <x:v>6</x:v>
      </x:c>
      <x:c r="F636" s="11" t="n">
        <x:v>162</x:v>
      </x:c>
      <x:c r="G636" s="12" t="n">
        <x:f>IF(F636=0,"n.a.",E636/F636)</x:f>
        <x:v>0.037037037037037035</x:v>
      </x:c>
      <x:c r="H636" s="13" t="str">
        <x:v>选项人数/该题有效答卷数</x:v>
      </x:c>
      <x:c r="I636" s="2" t="str">
        <x:v>数值版 Sheet1!GC2:GC163</x:v>
      </x:c>
    </x:row>
    <x:row r="637" ht="30" customHeight="1">
      <x:c r="A637" s="2" t="str">
        <x:v>Q42</x:v>
      </x:c>
      <x:c r="B637" s="2" t="str">
        <x:v>单选</x:v>
      </x:c>
      <x:c r="C637" s="13" t="str">
        <x:v>每三年一轮</x:v>
      </x:c>
      <x:c r="D637" s="2" t="str">
        <x:v>2</x:v>
      </x:c>
      <x:c r="E637" s="11" t="n">
        <x:v>30</x:v>
      </x:c>
      <x:c r="F637" s="11" t="n">
        <x:v>162</x:v>
      </x:c>
      <x:c r="G637" s="12" t="n">
        <x:f>IF(F637=0,"n.a.",E637/F637)</x:f>
        <x:v>0.18518518518518517</x:v>
      </x:c>
      <x:c r="H637" s="13" t="str">
        <x:v>选项人数/该题有效答卷数</x:v>
      </x:c>
      <x:c r="I637" s="2" t="str">
        <x:v>数值版 Sheet1!GC2:GC163</x:v>
      </x:c>
    </x:row>
    <x:row r="638" ht="30" customHeight="1">
      <x:c r="A638" s="2" t="str">
        <x:v>Q42</x:v>
      </x:c>
      <x:c r="B638" s="2" t="str">
        <x:v>单选</x:v>
      </x:c>
      <x:c r="C638" s="13" t="str">
        <x:v>每五年一轮</x:v>
      </x:c>
      <x:c r="D638" s="2" t="str">
        <x:v>3</x:v>
      </x:c>
      <x:c r="E638" s="11" t="n">
        <x:v>36</x:v>
      </x:c>
      <x:c r="F638" s="11" t="n">
        <x:v>162</x:v>
      </x:c>
      <x:c r="G638" s="12" t="n">
        <x:f>IF(F638=0,"n.a.",E638/F638)</x:f>
        <x:v>0.2222222222222222</x:v>
      </x:c>
      <x:c r="H638" s="13" t="str">
        <x:v>选项人数/该题有效答卷数</x:v>
      </x:c>
      <x:c r="I638" s="2" t="str">
        <x:v>数值版 Sheet1!GC2:GC163</x:v>
      </x:c>
    </x:row>
    <x:row r="639" ht="30" customHeight="1">
      <x:c r="A639" s="2" t="str">
        <x:v>Q42</x:v>
      </x:c>
      <x:c r="B639" s="2" t="str">
        <x:v>单选</x:v>
      </x:c>
      <x:c r="C639" s="13" t="str">
        <x:v>其他</x:v>
      </x:c>
      <x:c r="D639" s="2" t="str">
        <x:v>4</x:v>
      </x:c>
      <x:c r="E639" s="11" t="n">
        <x:v>90</x:v>
      </x:c>
      <x:c r="F639" s="11" t="n">
        <x:v>162</x:v>
      </x:c>
      <x:c r="G639" s="12" t="n">
        <x:f>IF(F639=0,"n.a.",E639/F639)</x:f>
        <x:v>0.5555555555555556</x:v>
      </x:c>
      <x:c r="H639" s="13" t="str">
        <x:v>选项人数/该题有效答卷数</x:v>
      </x:c>
      <x:c r="I639" s="2" t="str">
        <x:v>数值版 Sheet1!GC2:GC163</x:v>
      </x:c>
    </x:row>
    <x:row r="640" ht="30" customHeight="1">
      <x:c r="A640" s="2" t="str">
        <x:v>Q43</x:v>
      </x:c>
      <x:c r="B640" s="2" t="str">
        <x:v>五级量表</x:v>
      </x:c>
      <x:c r="C640" s="13" t="str">
        <x:v>M1 参与年度预算编制与执行分析</x:v>
      </x:c>
      <x:c r="D640" s="2" t="str">
        <x:v>1分</x:v>
      </x:c>
      <x:c r="E640" s="11" t="n">
        <x:v>0</x:v>
      </x:c>
      <x:c r="F640" s="11" t="n">
        <x:v>162</x:v>
      </x:c>
      <x:c r="G640" s="12" t="n">
        <x:f>IF(F640=0,"n.a.",E640/F640)</x:f>
        <x:v>0</x:v>
      </x:c>
      <x:c r="H640" s="13" t="str">
        <x:v>Q22高分=差距大；Q35高分=通道畅通；其余按题意</x:v>
      </x:c>
      <x:c r="I640" s="2" t="str">
        <x:v>数值版 Sheet1!GD2:GJ163</x:v>
      </x:c>
    </x:row>
    <x:row r="641" ht="30" customHeight="1">
      <x:c r="A641" s="2" t="str">
        <x:v>Q43</x:v>
      </x:c>
      <x:c r="B641" s="2" t="str">
        <x:v>五级量表</x:v>
      </x:c>
      <x:c r="C641" s="13" t="str">
        <x:v>M1 参与年度预算编制与执行分析</x:v>
      </x:c>
      <x:c r="D641" s="2" t="str">
        <x:v>2分</x:v>
      </x:c>
      <x:c r="E641" s="11" t="n">
        <x:v>4</x:v>
      </x:c>
      <x:c r="F641" s="11" t="n">
        <x:v>162</x:v>
      </x:c>
      <x:c r="G641" s="12" t="n">
        <x:f>IF(F641=0,"n.a.",E641/F641)</x:f>
        <x:v>0.024691358024691357</x:v>
      </x:c>
      <x:c r="H641" s="13" t="str">
        <x:v>Q22高分=差距大；Q35高分=通道畅通；其余按题意</x:v>
      </x:c>
      <x:c r="I641" s="2" t="str">
        <x:v>数值版 Sheet1!GD2:GJ163</x:v>
      </x:c>
    </x:row>
    <x:row r="642" ht="30" customHeight="1">
      <x:c r="A642" s="2" t="str">
        <x:v>Q43</x:v>
      </x:c>
      <x:c r="B642" s="2" t="str">
        <x:v>五级量表</x:v>
      </x:c>
      <x:c r="C642" s="13" t="str">
        <x:v>M1 参与年度预算编制与执行分析</x:v>
      </x:c>
      <x:c r="D642" s="2" t="str">
        <x:v>3分</x:v>
      </x:c>
      <x:c r="E642" s="11" t="n">
        <x:v>8</x:v>
      </x:c>
      <x:c r="F642" s="11" t="n">
        <x:v>162</x:v>
      </x:c>
      <x:c r="G642" s="12" t="n">
        <x:f>IF(F642=0,"n.a.",E642/F642)</x:f>
        <x:v>0.04938271604938271</x:v>
      </x:c>
      <x:c r="H642" s="13" t="str">
        <x:v>Q22高分=差距大；Q35高分=通道畅通；其余按题意</x:v>
      </x:c>
      <x:c r="I642" s="2" t="str">
        <x:v>数值版 Sheet1!GD2:GJ163</x:v>
      </x:c>
    </x:row>
    <x:row r="643" ht="30" customHeight="1">
      <x:c r="A643" s="2" t="str">
        <x:v>Q43</x:v>
      </x:c>
      <x:c r="B643" s="2" t="str">
        <x:v>五级量表</x:v>
      </x:c>
      <x:c r="C643" s="13" t="str">
        <x:v>M1 参与年度预算编制与执行分析</x:v>
      </x:c>
      <x:c r="D643" s="2" t="str">
        <x:v>4分</x:v>
      </x:c>
      <x:c r="E643" s="11" t="n">
        <x:v>39</x:v>
      </x:c>
      <x:c r="F643" s="11" t="n">
        <x:v>162</x:v>
      </x:c>
      <x:c r="G643" s="12" t="n">
        <x:f>IF(F643=0,"n.a.",E643/F643)</x:f>
        <x:v>0.24074074074074073</x:v>
      </x:c>
      <x:c r="H643" s="13" t="str">
        <x:v>Q22高分=差距大；Q35高分=通道畅通；其余按题意</x:v>
      </x:c>
      <x:c r="I643" s="2" t="str">
        <x:v>数值版 Sheet1!GD2:GJ163</x:v>
      </x:c>
    </x:row>
    <x:row r="644" ht="30" customHeight="1">
      <x:c r="A644" s="2" t="str">
        <x:v>Q43</x:v>
      </x:c>
      <x:c r="B644" s="2" t="str">
        <x:v>五级量表</x:v>
      </x:c>
      <x:c r="C644" s="13" t="str">
        <x:v>M1 参与年度预算编制与执行分析</x:v>
      </x:c>
      <x:c r="D644" s="2" t="str">
        <x:v>5分</x:v>
      </x:c>
      <x:c r="E644" s="11" t="n">
        <x:v>111</x:v>
      </x:c>
      <x:c r="F644" s="11" t="n">
        <x:v>162</x:v>
      </x:c>
      <x:c r="G644" s="12" t="n">
        <x:f>IF(F644=0,"n.a.",E644/F644)</x:f>
        <x:v>0.6851851851851852</x:v>
      </x:c>
      <x:c r="H644" s="13" t="str">
        <x:v>Q22高分=差距大；Q35高分=通道畅通；其余按题意</x:v>
      </x:c>
      <x:c r="I644" s="2" t="str">
        <x:v>数值版 Sheet1!GD2:GJ163</x:v>
      </x:c>
    </x:row>
    <x:row r="645" ht="30" customHeight="1">
      <x:c r="A645" s="2" t="str">
        <x:v>Q43</x:v>
      </x:c>
      <x:c r="B645" s="2" t="str">
        <x:v>五级量表</x:v>
      </x:c>
      <x:c r="C645" s="13" t="str">
        <x:v>M2 参与成本核算与病种盈亏分析项目</x:v>
      </x:c>
      <x:c r="D645" s="2" t="str">
        <x:v>1分</x:v>
      </x:c>
      <x:c r="E645" s="11" t="n">
        <x:v>0</x:v>
      </x:c>
      <x:c r="F645" s="11" t="n">
        <x:v>162</x:v>
      </x:c>
      <x:c r="G645" s="12" t="n">
        <x:f>IF(F645=0,"n.a.",E645/F645)</x:f>
        <x:v>0</x:v>
      </x:c>
      <x:c r="H645" s="13" t="str">
        <x:v>Q22高分=差距大；Q35高分=通道畅通；其余按题意</x:v>
      </x:c>
      <x:c r="I645" s="2" t="str">
        <x:v>数值版 Sheet1!GD2:GJ163</x:v>
      </x:c>
    </x:row>
    <x:row r="646" ht="30" customHeight="1">
      <x:c r="A646" s="2" t="str">
        <x:v>Q43</x:v>
      </x:c>
      <x:c r="B646" s="2" t="str">
        <x:v>五级量表</x:v>
      </x:c>
      <x:c r="C646" s="13" t="str">
        <x:v>M2 参与成本核算与病种盈亏分析项目</x:v>
      </x:c>
      <x:c r="D646" s="2" t="str">
        <x:v>2分</x:v>
      </x:c>
      <x:c r="E646" s="11" t="n">
        <x:v>1</x:v>
      </x:c>
      <x:c r="F646" s="11" t="n">
        <x:v>162</x:v>
      </x:c>
      <x:c r="G646" s="12" t="n">
        <x:f>IF(F646=0,"n.a.",E646/F646)</x:f>
        <x:v>0.006172839506172839</x:v>
      </x:c>
      <x:c r="H646" s="13" t="str">
        <x:v>Q22高分=差距大；Q35高分=通道畅通；其余按题意</x:v>
      </x:c>
      <x:c r="I646" s="2" t="str">
        <x:v>数值版 Sheet1!GD2:GJ163</x:v>
      </x:c>
    </x:row>
    <x:row r="647" ht="30" customHeight="1">
      <x:c r="A647" s="2" t="str">
        <x:v>Q43</x:v>
      </x:c>
      <x:c r="B647" s="2" t="str">
        <x:v>五级量表</x:v>
      </x:c>
      <x:c r="C647" s="13" t="str">
        <x:v>M2 参与成本核算与病种盈亏分析项目</x:v>
      </x:c>
      <x:c r="D647" s="2" t="str">
        <x:v>3分</x:v>
      </x:c>
      <x:c r="E647" s="11" t="n">
        <x:v>12</x:v>
      </x:c>
      <x:c r="F647" s="11" t="n">
        <x:v>162</x:v>
      </x:c>
      <x:c r="G647" s="12" t="n">
        <x:f>IF(F647=0,"n.a.",E647/F647)</x:f>
        <x:v>0.07407407407407407</x:v>
      </x:c>
      <x:c r="H647" s="13" t="str">
        <x:v>Q22高分=差距大；Q35高分=通道畅通；其余按题意</x:v>
      </x:c>
      <x:c r="I647" s="2" t="str">
        <x:v>数值版 Sheet1!GD2:GJ163</x:v>
      </x:c>
    </x:row>
    <x:row r="648" ht="30" customHeight="1">
      <x:c r="A648" s="2" t="str">
        <x:v>Q43</x:v>
      </x:c>
      <x:c r="B648" s="2" t="str">
        <x:v>五级量表</x:v>
      </x:c>
      <x:c r="C648" s="13" t="str">
        <x:v>M2 参与成本核算与病种盈亏分析项目</x:v>
      </x:c>
      <x:c r="D648" s="2" t="str">
        <x:v>4分</x:v>
      </x:c>
      <x:c r="E648" s="11" t="n">
        <x:v>29</x:v>
      </x:c>
      <x:c r="F648" s="11" t="n">
        <x:v>162</x:v>
      </x:c>
      <x:c r="G648" s="12" t="n">
        <x:f>IF(F648=0,"n.a.",E648/F648)</x:f>
        <x:v>0.17901234567901234</x:v>
      </x:c>
      <x:c r="H648" s="13" t="str">
        <x:v>Q22高分=差距大；Q35高分=通道畅通；其余按题意</x:v>
      </x:c>
      <x:c r="I648" s="2" t="str">
        <x:v>数值版 Sheet1!GD2:GJ163</x:v>
      </x:c>
    </x:row>
    <x:row r="649" ht="30" customHeight="1">
      <x:c r="A649" s="2" t="str">
        <x:v>Q43</x:v>
      </x:c>
      <x:c r="B649" s="2" t="str">
        <x:v>五级量表</x:v>
      </x:c>
      <x:c r="C649" s="13" t="str">
        <x:v>M2 参与成本核算与病种盈亏分析项目</x:v>
      </x:c>
      <x:c r="D649" s="2" t="str">
        <x:v>5分</x:v>
      </x:c>
      <x:c r="E649" s="11" t="n">
        <x:v>120</x:v>
      </x:c>
      <x:c r="F649" s="11" t="n">
        <x:v>162</x:v>
      </x:c>
      <x:c r="G649" s="12" t="n">
        <x:f>IF(F649=0,"n.a.",E649/F649)</x:f>
        <x:v>0.7407407407407407</x:v>
      </x:c>
      <x:c r="H649" s="13" t="str">
        <x:v>Q22高分=差距大；Q35高分=通道畅通；其余按题意</x:v>
      </x:c>
      <x:c r="I649" s="2" t="str">
        <x:v>数值版 Sheet1!GD2:GJ163</x:v>
      </x:c>
    </x:row>
    <x:row r="650" ht="30" customHeight="1">
      <x:c r="A650" s="2" t="str">
        <x:v>Q43</x:v>
      </x:c>
      <x:c r="B650" s="2" t="str">
        <x:v>五级量表</x:v>
      </x:c>
      <x:c r="C650" s="13" t="str">
        <x:v>M3 参与内部控制建设与内部控制评价</x:v>
      </x:c>
      <x:c r="D650" s="2" t="str">
        <x:v>1分</x:v>
      </x:c>
      <x:c r="E650" s="11" t="n">
        <x:v>0</x:v>
      </x:c>
      <x:c r="F650" s="11" t="n">
        <x:v>162</x:v>
      </x:c>
      <x:c r="G650" s="12" t="n">
        <x:f>IF(F650=0,"n.a.",E650/F650)</x:f>
        <x:v>0</x:v>
      </x:c>
      <x:c r="H650" s="13" t="str">
        <x:v>Q22高分=差距大；Q35高分=通道畅通；其余按题意</x:v>
      </x:c>
      <x:c r="I650" s="2" t="str">
        <x:v>数值版 Sheet1!GD2:GJ163</x:v>
      </x:c>
    </x:row>
    <x:row r="651" ht="30" customHeight="1">
      <x:c r="A651" s="2" t="str">
        <x:v>Q43</x:v>
      </x:c>
      <x:c r="B651" s="2" t="str">
        <x:v>五级量表</x:v>
      </x:c>
      <x:c r="C651" s="13" t="str">
        <x:v>M3 参与内部控制建设与内部控制评价</x:v>
      </x:c>
      <x:c r="D651" s="2" t="str">
        <x:v>2分</x:v>
      </x:c>
      <x:c r="E651" s="11" t="n">
        <x:v>2</x:v>
      </x:c>
      <x:c r="F651" s="11" t="n">
        <x:v>162</x:v>
      </x:c>
      <x:c r="G651" s="12" t="n">
        <x:f>IF(F651=0,"n.a.",E651/F651)</x:f>
        <x:v>0.012345679012345678</x:v>
      </x:c>
      <x:c r="H651" s="13" t="str">
        <x:v>Q22高分=差距大；Q35高分=通道畅通；其余按题意</x:v>
      </x:c>
      <x:c r="I651" s="2" t="str">
        <x:v>数值版 Sheet1!GD2:GJ163</x:v>
      </x:c>
    </x:row>
    <x:row r="652" ht="30" customHeight="1">
      <x:c r="A652" s="2" t="str">
        <x:v>Q43</x:v>
      </x:c>
      <x:c r="B652" s="2" t="str">
        <x:v>五级量表</x:v>
      </x:c>
      <x:c r="C652" s="13" t="str">
        <x:v>M3 参与内部控制建设与内部控制评价</x:v>
      </x:c>
      <x:c r="D652" s="2" t="str">
        <x:v>3分</x:v>
      </x:c>
      <x:c r="E652" s="11" t="n">
        <x:v>14</x:v>
      </x:c>
      <x:c r="F652" s="11" t="n">
        <x:v>162</x:v>
      </x:c>
      <x:c r="G652" s="12" t="n">
        <x:f>IF(F652=0,"n.a.",E652/F652)</x:f>
        <x:v>0.08641975308641975</x:v>
      </x:c>
      <x:c r="H652" s="13" t="str">
        <x:v>Q22高分=差距大；Q35高分=通道畅通；其余按题意</x:v>
      </x:c>
      <x:c r="I652" s="2" t="str">
        <x:v>数值版 Sheet1!GD2:GJ163</x:v>
      </x:c>
    </x:row>
    <x:row r="653" ht="30" customHeight="1">
      <x:c r="A653" s="2" t="str">
        <x:v>Q43</x:v>
      </x:c>
      <x:c r="B653" s="2" t="str">
        <x:v>五级量表</x:v>
      </x:c>
      <x:c r="C653" s="13" t="str">
        <x:v>M3 参与内部控制建设与内部控制评价</x:v>
      </x:c>
      <x:c r="D653" s="2" t="str">
        <x:v>4分</x:v>
      </x:c>
      <x:c r="E653" s="11" t="n">
        <x:v>47</x:v>
      </x:c>
      <x:c r="F653" s="11" t="n">
        <x:v>162</x:v>
      </x:c>
      <x:c r="G653" s="12" t="n">
        <x:f>IF(F653=0,"n.a.",E653/F653)</x:f>
        <x:v>0.29012345679012347</x:v>
      </x:c>
      <x:c r="H653" s="13" t="str">
        <x:v>Q22高分=差距大；Q35高分=通道畅通；其余按题意</x:v>
      </x:c>
      <x:c r="I653" s="2" t="str">
        <x:v>数值版 Sheet1!GD2:GJ163</x:v>
      </x:c>
    </x:row>
    <x:row r="654" ht="30" customHeight="1">
      <x:c r="A654" s="2" t="str">
        <x:v>Q43</x:v>
      </x:c>
      <x:c r="B654" s="2" t="str">
        <x:v>五级量表</x:v>
      </x:c>
      <x:c r="C654" s="13" t="str">
        <x:v>M3 参与内部控制建设与内部控制评价</x:v>
      </x:c>
      <x:c r="D654" s="2" t="str">
        <x:v>5分</x:v>
      </x:c>
      <x:c r="E654" s="11" t="n">
        <x:v>99</x:v>
      </x:c>
      <x:c r="F654" s="11" t="n">
        <x:v>162</x:v>
      </x:c>
      <x:c r="G654" s="12" t="n">
        <x:f>IF(F654=0,"n.a.",E654/F654)</x:f>
        <x:v>0.6111111111111112</x:v>
      </x:c>
      <x:c r="H654" s="13" t="str">
        <x:v>Q22高分=差距大；Q35高分=通道畅通；其余按题意</x:v>
      </x:c>
      <x:c r="I654" s="2" t="str">
        <x:v>数值版 Sheet1!GD2:GJ163</x:v>
      </x:c>
    </x:row>
    <x:row r="655" ht="30" customHeight="1">
      <x:c r="A655" s="2" t="str">
        <x:v>Q43</x:v>
      </x:c>
      <x:c r="B655" s="2" t="str">
        <x:v>五级量表</x:v>
      </x:c>
      <x:c r="C655" s="13" t="str">
        <x:v>M4 参与运营分析、报告撰写与决策支持</x:v>
      </x:c>
      <x:c r="D655" s="2" t="str">
        <x:v>1分</x:v>
      </x:c>
      <x:c r="E655" s="11" t="n">
        <x:v>0</x:v>
      </x:c>
      <x:c r="F655" s="11" t="n">
        <x:v>162</x:v>
      </x:c>
      <x:c r="G655" s="12" t="n">
        <x:f>IF(F655=0,"n.a.",E655/F655)</x:f>
        <x:v>0</x:v>
      </x:c>
      <x:c r="H655" s="13" t="str">
        <x:v>Q22高分=差距大；Q35高分=通道畅通；其余按题意</x:v>
      </x:c>
      <x:c r="I655" s="2" t="str">
        <x:v>数值版 Sheet1!GD2:GJ163</x:v>
      </x:c>
    </x:row>
    <x:row r="656" ht="30" customHeight="1">
      <x:c r="A656" s="2" t="str">
        <x:v>Q43</x:v>
      </x:c>
      <x:c r="B656" s="2" t="str">
        <x:v>五级量表</x:v>
      </x:c>
      <x:c r="C656" s="13" t="str">
        <x:v>M4 参与运营分析、报告撰写与决策支持</x:v>
      </x:c>
      <x:c r="D656" s="2" t="str">
        <x:v>2分</x:v>
      </x:c>
      <x:c r="E656" s="11" t="n">
        <x:v>0</x:v>
      </x:c>
      <x:c r="F656" s="11" t="n">
        <x:v>162</x:v>
      </x:c>
      <x:c r="G656" s="12" t="n">
        <x:f>IF(F656=0,"n.a.",E656/F656)</x:f>
        <x:v>0</x:v>
      </x:c>
      <x:c r="H656" s="13" t="str">
        <x:v>Q22高分=差距大；Q35高分=通道畅通；其余按题意</x:v>
      </x:c>
      <x:c r="I656" s="2" t="str">
        <x:v>数值版 Sheet1!GD2:GJ163</x:v>
      </x:c>
    </x:row>
    <x:row r="657" ht="30" customHeight="1">
      <x:c r="A657" s="2" t="str">
        <x:v>Q43</x:v>
      </x:c>
      <x:c r="B657" s="2" t="str">
        <x:v>五级量表</x:v>
      </x:c>
      <x:c r="C657" s="13" t="str">
        <x:v>M4 参与运营分析、报告撰写与决策支持</x:v>
      </x:c>
      <x:c r="D657" s="2" t="str">
        <x:v>3分</x:v>
      </x:c>
      <x:c r="E657" s="11" t="n">
        <x:v>11</x:v>
      </x:c>
      <x:c r="F657" s="11" t="n">
        <x:v>162</x:v>
      </x:c>
      <x:c r="G657" s="12" t="n">
        <x:f>IF(F657=0,"n.a.",E657/F657)</x:f>
        <x:v>0.06790123456790123</x:v>
      </x:c>
      <x:c r="H657" s="13" t="str">
        <x:v>Q22高分=差距大；Q35高分=通道畅通；其余按题意</x:v>
      </x:c>
      <x:c r="I657" s="2" t="str">
        <x:v>数值版 Sheet1!GD2:GJ163</x:v>
      </x:c>
    </x:row>
    <x:row r="658" ht="30" customHeight="1">
      <x:c r="A658" s="2" t="str">
        <x:v>Q43</x:v>
      </x:c>
      <x:c r="B658" s="2" t="str">
        <x:v>五级量表</x:v>
      </x:c>
      <x:c r="C658" s="13" t="str">
        <x:v>M4 参与运营分析、报告撰写与决策支持</x:v>
      </x:c>
      <x:c r="D658" s="2" t="str">
        <x:v>4分</x:v>
      </x:c>
      <x:c r="E658" s="11" t="n">
        <x:v>30</x:v>
      </x:c>
      <x:c r="F658" s="11" t="n">
        <x:v>162</x:v>
      </x:c>
      <x:c r="G658" s="12" t="n">
        <x:f>IF(F658=0,"n.a.",E658/F658)</x:f>
        <x:v>0.18518518518518517</x:v>
      </x:c>
      <x:c r="H658" s="13" t="str">
        <x:v>Q22高分=差距大；Q35高分=通道畅通；其余按题意</x:v>
      </x:c>
      <x:c r="I658" s="2" t="str">
        <x:v>数值版 Sheet1!GD2:GJ163</x:v>
      </x:c>
    </x:row>
    <x:row r="659" ht="30" customHeight="1">
      <x:c r="A659" s="2" t="str">
        <x:v>Q43</x:v>
      </x:c>
      <x:c r="B659" s="2" t="str">
        <x:v>五级量表</x:v>
      </x:c>
      <x:c r="C659" s="13" t="str">
        <x:v>M4 参与运营分析、报告撰写与决策支持</x:v>
      </x:c>
      <x:c r="D659" s="2" t="str">
        <x:v>5分</x:v>
      </x:c>
      <x:c r="E659" s="11" t="n">
        <x:v>121</x:v>
      </x:c>
      <x:c r="F659" s="11" t="n">
        <x:v>162</x:v>
      </x:c>
      <x:c r="G659" s="12" t="n">
        <x:f>IF(F659=0,"n.a.",E659/F659)</x:f>
        <x:v>0.7469135802469136</x:v>
      </x:c>
      <x:c r="H659" s="13" t="str">
        <x:v>Q22高分=差距大；Q35高分=通道畅通；其余按题意</x:v>
      </x:c>
      <x:c r="I659" s="2" t="str">
        <x:v>数值版 Sheet1!GD2:GJ163</x:v>
      </x:c>
    </x:row>
    <x:row r="660" ht="30" customHeight="1">
      <x:c r="A660" s="2" t="str">
        <x:v>Q43</x:v>
      </x:c>
      <x:c r="B660" s="2" t="str">
        <x:v>五级量表</x:v>
      </x:c>
      <x:c r="C660" s="13" t="str">
        <x:v>M5 参与审计监督与财会监督</x:v>
      </x:c>
      <x:c r="D660" s="2" t="str">
        <x:v>1分</x:v>
      </x:c>
      <x:c r="E660" s="11" t="n">
        <x:v>0</x:v>
      </x:c>
      <x:c r="F660" s="11" t="n">
        <x:v>162</x:v>
      </x:c>
      <x:c r="G660" s="12" t="n">
        <x:f>IF(F660=0,"n.a.",E660/F660)</x:f>
        <x:v>0</x:v>
      </x:c>
      <x:c r="H660" s="13" t="str">
        <x:v>Q22高分=差距大；Q35高分=通道畅通；其余按题意</x:v>
      </x:c>
      <x:c r="I660" s="2" t="str">
        <x:v>数值版 Sheet1!GD2:GJ163</x:v>
      </x:c>
    </x:row>
    <x:row r="661" ht="30" customHeight="1">
      <x:c r="A661" s="2" t="str">
        <x:v>Q43</x:v>
      </x:c>
      <x:c r="B661" s="2" t="str">
        <x:v>五级量表</x:v>
      </x:c>
      <x:c r="C661" s="13" t="str">
        <x:v>M5 参与审计监督与财会监督</x:v>
      </x:c>
      <x:c r="D661" s="2" t="str">
        <x:v>2分</x:v>
      </x:c>
      <x:c r="E661" s="11" t="n">
        <x:v>3</x:v>
      </x:c>
      <x:c r="F661" s="11" t="n">
        <x:v>162</x:v>
      </x:c>
      <x:c r="G661" s="12" t="n">
        <x:f>IF(F661=0,"n.a.",E661/F661)</x:f>
        <x:v>0.018518518518518517</x:v>
      </x:c>
      <x:c r="H661" s="13" t="str">
        <x:v>Q22高分=差距大；Q35高分=通道畅通；其余按题意</x:v>
      </x:c>
      <x:c r="I661" s="2" t="str">
        <x:v>数值版 Sheet1!GD2:GJ163</x:v>
      </x:c>
    </x:row>
    <x:row r="662" ht="30" customHeight="1">
      <x:c r="A662" s="2" t="str">
        <x:v>Q43</x:v>
      </x:c>
      <x:c r="B662" s="2" t="str">
        <x:v>五级量表</x:v>
      </x:c>
      <x:c r="C662" s="13" t="str">
        <x:v>M5 参与审计监督与财会监督</x:v>
      </x:c>
      <x:c r="D662" s="2" t="str">
        <x:v>3分</x:v>
      </x:c>
      <x:c r="E662" s="11" t="n">
        <x:v>16</x:v>
      </x:c>
      <x:c r="F662" s="11" t="n">
        <x:v>162</x:v>
      </x:c>
      <x:c r="G662" s="12" t="n">
        <x:f>IF(F662=0,"n.a.",E662/F662)</x:f>
        <x:v>0.09876543209876543</x:v>
      </x:c>
      <x:c r="H662" s="13" t="str">
        <x:v>Q22高分=差距大；Q35高分=通道畅通；其余按题意</x:v>
      </x:c>
      <x:c r="I662" s="2" t="str">
        <x:v>数值版 Sheet1!GD2:GJ163</x:v>
      </x:c>
    </x:row>
    <x:row r="663" ht="30" customHeight="1">
      <x:c r="A663" s="2" t="str">
        <x:v>Q43</x:v>
      </x:c>
      <x:c r="B663" s="2" t="str">
        <x:v>五级量表</x:v>
      </x:c>
      <x:c r="C663" s="13" t="str">
        <x:v>M5 参与审计监督与财会监督</x:v>
      </x:c>
      <x:c r="D663" s="2" t="str">
        <x:v>4分</x:v>
      </x:c>
      <x:c r="E663" s="11" t="n">
        <x:v>48</x:v>
      </x:c>
      <x:c r="F663" s="11" t="n">
        <x:v>162</x:v>
      </x:c>
      <x:c r="G663" s="12" t="n">
        <x:f>IF(F663=0,"n.a.",E663/F663)</x:f>
        <x:v>0.2962962962962963</x:v>
      </x:c>
      <x:c r="H663" s="13" t="str">
        <x:v>Q22高分=差距大；Q35高分=通道畅通；其余按题意</x:v>
      </x:c>
      <x:c r="I663" s="2" t="str">
        <x:v>数值版 Sheet1!GD2:GJ163</x:v>
      </x:c>
    </x:row>
    <x:row r="664" ht="30" customHeight="1">
      <x:c r="A664" s="2" t="str">
        <x:v>Q43</x:v>
      </x:c>
      <x:c r="B664" s="2" t="str">
        <x:v>五级量表</x:v>
      </x:c>
      <x:c r="C664" s="13" t="str">
        <x:v>M5 参与审计监督与财会监督</x:v>
      </x:c>
      <x:c r="D664" s="2" t="str">
        <x:v>5分</x:v>
      </x:c>
      <x:c r="E664" s="11" t="n">
        <x:v>95</x:v>
      </x:c>
      <x:c r="F664" s="11" t="n">
        <x:v>162</x:v>
      </x:c>
      <x:c r="G664" s="12" t="n">
        <x:f>IF(F664=0,"n.a.",E664/F664)</x:f>
        <x:v>0.5864197530864198</x:v>
      </x:c>
      <x:c r="H664" s="13" t="str">
        <x:v>Q22高分=差距大；Q35高分=通道畅通；其余按题意</x:v>
      </x:c>
      <x:c r="I664" s="2" t="str">
        <x:v>数值版 Sheet1!GD2:GJ163</x:v>
      </x:c>
    </x:row>
    <x:row r="665" ht="30" customHeight="1">
      <x:c r="A665" s="2" t="str">
        <x:v>Q43</x:v>
      </x:c>
      <x:c r="B665" s="2" t="str">
        <x:v>五级量表</x:v>
      </x:c>
      <x:c r="C665" s="13" t="str">
        <x:v>M6 参与绩效分配方案设计与更正</x:v>
      </x:c>
      <x:c r="D665" s="2" t="str">
        <x:v>1分</x:v>
      </x:c>
      <x:c r="E665" s="11" t="n">
        <x:v>0</x:v>
      </x:c>
      <x:c r="F665" s="11" t="n">
        <x:v>162</x:v>
      </x:c>
      <x:c r="G665" s="12" t="n">
        <x:f>IF(F665=0,"n.a.",E665/F665)</x:f>
        <x:v>0</x:v>
      </x:c>
      <x:c r="H665" s="13" t="str">
        <x:v>Q22高分=差距大；Q35高分=通道畅通；其余按题意</x:v>
      </x:c>
      <x:c r="I665" s="2" t="str">
        <x:v>数值版 Sheet1!GD2:GJ163</x:v>
      </x:c>
    </x:row>
    <x:row r="666" ht="30" customHeight="1">
      <x:c r="A666" s="2" t="str">
        <x:v>Q43</x:v>
      </x:c>
      <x:c r="B666" s="2" t="str">
        <x:v>五级量表</x:v>
      </x:c>
      <x:c r="C666" s="13" t="str">
        <x:v>M6 参与绩效分配方案设计与更正</x:v>
      </x:c>
      <x:c r="D666" s="2" t="str">
        <x:v>2分</x:v>
      </x:c>
      <x:c r="E666" s="11" t="n">
        <x:v>2</x:v>
      </x:c>
      <x:c r="F666" s="11" t="n">
        <x:v>162</x:v>
      </x:c>
      <x:c r="G666" s="12" t="n">
        <x:f>IF(F666=0,"n.a.",E666/F666)</x:f>
        <x:v>0.012345679012345678</x:v>
      </x:c>
      <x:c r="H666" s="13" t="str">
        <x:v>Q22高分=差距大；Q35高分=通道畅通；其余按题意</x:v>
      </x:c>
      <x:c r="I666" s="2" t="str">
        <x:v>数值版 Sheet1!GD2:GJ163</x:v>
      </x:c>
    </x:row>
    <x:row r="667" ht="30" customHeight="1">
      <x:c r="A667" s="2" t="str">
        <x:v>Q43</x:v>
      </x:c>
      <x:c r="B667" s="2" t="str">
        <x:v>五级量表</x:v>
      </x:c>
      <x:c r="C667" s="13" t="str">
        <x:v>M6 参与绩效分配方案设计与更正</x:v>
      </x:c>
      <x:c r="D667" s="2" t="str">
        <x:v>3分</x:v>
      </x:c>
      <x:c r="E667" s="11" t="n">
        <x:v>16</x:v>
      </x:c>
      <x:c r="F667" s="11" t="n">
        <x:v>162</x:v>
      </x:c>
      <x:c r="G667" s="12" t="n">
        <x:f>IF(F667=0,"n.a.",E667/F667)</x:f>
        <x:v>0.09876543209876543</x:v>
      </x:c>
      <x:c r="H667" s="13" t="str">
        <x:v>Q22高分=差距大；Q35高分=通道畅通；其余按题意</x:v>
      </x:c>
      <x:c r="I667" s="2" t="str">
        <x:v>数值版 Sheet1!GD2:GJ163</x:v>
      </x:c>
    </x:row>
    <x:row r="668" ht="30" customHeight="1">
      <x:c r="A668" s="2" t="str">
        <x:v>Q43</x:v>
      </x:c>
      <x:c r="B668" s="2" t="str">
        <x:v>五级量表</x:v>
      </x:c>
      <x:c r="C668" s="13" t="str">
        <x:v>M6 参与绩效分配方案设计与更正</x:v>
      </x:c>
      <x:c r="D668" s="2" t="str">
        <x:v>4分</x:v>
      </x:c>
      <x:c r="E668" s="11" t="n">
        <x:v>46</x:v>
      </x:c>
      <x:c r="F668" s="11" t="n">
        <x:v>162</x:v>
      </x:c>
      <x:c r="G668" s="12" t="n">
        <x:f>IF(F668=0,"n.a.",E668/F668)</x:f>
        <x:v>0.2839506172839506</x:v>
      </x:c>
      <x:c r="H668" s="13" t="str">
        <x:v>Q22高分=差距大；Q35高分=通道畅通；其余按题意</x:v>
      </x:c>
      <x:c r="I668" s="2" t="str">
        <x:v>数值版 Sheet1!GD2:GJ163</x:v>
      </x:c>
    </x:row>
    <x:row r="669" ht="30" customHeight="1">
      <x:c r="A669" s="2" t="str">
        <x:v>Q43</x:v>
      </x:c>
      <x:c r="B669" s="2" t="str">
        <x:v>五级量表</x:v>
      </x:c>
      <x:c r="C669" s="13" t="str">
        <x:v>M6 参与绩效分配方案设计与更正</x:v>
      </x:c>
      <x:c r="D669" s="2" t="str">
        <x:v>5分</x:v>
      </x:c>
      <x:c r="E669" s="11" t="n">
        <x:v>98</x:v>
      </x:c>
      <x:c r="F669" s="11" t="n">
        <x:v>162</x:v>
      </x:c>
      <x:c r="G669" s="12" t="n">
        <x:f>IF(F669=0,"n.a.",E669/F669)</x:f>
        <x:v>0.6049382716049383</x:v>
      </x:c>
      <x:c r="H669" s="13" t="str">
        <x:v>Q22高分=差距大；Q35高分=通道畅通；其余按题意</x:v>
      </x:c>
      <x:c r="I669" s="2" t="str">
        <x:v>数值版 Sheet1!GD2:GJ163</x:v>
      </x:c>
    </x:row>
    <x:row r="670" ht="30" customHeight="1">
      <x:c r="A670" s="2" t="str">
        <x:v>Q43</x:v>
      </x:c>
      <x:c r="B670" s="2" t="str">
        <x:v>五级量表</x:v>
      </x:c>
      <x:c r="C670" s="13" t="str">
        <x:v>M7 参与医保收费、物价检查</x:v>
      </x:c>
      <x:c r="D670" s="2" t="str">
        <x:v>1分</x:v>
      </x:c>
      <x:c r="E670" s="11" t="n">
        <x:v>0</x:v>
      </x:c>
      <x:c r="F670" s="11" t="n">
        <x:v>162</x:v>
      </x:c>
      <x:c r="G670" s="12" t="n">
        <x:f>IF(F670=0,"n.a.",E670/F670)</x:f>
        <x:v>0</x:v>
      </x:c>
      <x:c r="H670" s="13" t="str">
        <x:v>Q22高分=差距大；Q35高分=通道畅通；其余按题意</x:v>
      </x:c>
      <x:c r="I670" s="2" t="str">
        <x:v>数值版 Sheet1!GD2:GJ163</x:v>
      </x:c>
    </x:row>
    <x:row r="671" ht="30" customHeight="1">
      <x:c r="A671" s="2" t="str">
        <x:v>Q43</x:v>
      </x:c>
      <x:c r="B671" s="2" t="str">
        <x:v>五级量表</x:v>
      </x:c>
      <x:c r="C671" s="13" t="str">
        <x:v>M7 参与医保收费、物价检查</x:v>
      </x:c>
      <x:c r="D671" s="2" t="str">
        <x:v>2分</x:v>
      </x:c>
      <x:c r="E671" s="11" t="n">
        <x:v>1</x:v>
      </x:c>
      <x:c r="F671" s="11" t="n">
        <x:v>162</x:v>
      </x:c>
      <x:c r="G671" s="12" t="n">
        <x:f>IF(F671=0,"n.a.",E671/F671)</x:f>
        <x:v>0.006172839506172839</x:v>
      </x:c>
      <x:c r="H671" s="13" t="str">
        <x:v>Q22高分=差距大；Q35高分=通道畅通；其余按题意</x:v>
      </x:c>
      <x:c r="I671" s="2" t="str">
        <x:v>数值版 Sheet1!GD2:GJ163</x:v>
      </x:c>
    </x:row>
    <x:row r="672" ht="30" customHeight="1">
      <x:c r="A672" s="2" t="str">
        <x:v>Q43</x:v>
      </x:c>
      <x:c r="B672" s="2" t="str">
        <x:v>五级量表</x:v>
      </x:c>
      <x:c r="C672" s="13" t="str">
        <x:v>M7 参与医保收费、物价检查</x:v>
      </x:c>
      <x:c r="D672" s="2" t="str">
        <x:v>3分</x:v>
      </x:c>
      <x:c r="E672" s="11" t="n">
        <x:v>19</x:v>
      </x:c>
      <x:c r="F672" s="11" t="n">
        <x:v>162</x:v>
      </x:c>
      <x:c r="G672" s="12" t="n">
        <x:f>IF(F672=0,"n.a.",E672/F672)</x:f>
        <x:v>0.11728395061728394</x:v>
      </x:c>
      <x:c r="H672" s="13" t="str">
        <x:v>Q22高分=差距大；Q35高分=通道畅通；其余按题意</x:v>
      </x:c>
      <x:c r="I672" s="2" t="str">
        <x:v>数值版 Sheet1!GD2:GJ163</x:v>
      </x:c>
    </x:row>
    <x:row r="673" ht="30" customHeight="1">
      <x:c r="A673" s="2" t="str">
        <x:v>Q43</x:v>
      </x:c>
      <x:c r="B673" s="2" t="str">
        <x:v>五级量表</x:v>
      </x:c>
      <x:c r="C673" s="13" t="str">
        <x:v>M7 参与医保收费、物价检查</x:v>
      </x:c>
      <x:c r="D673" s="2" t="str">
        <x:v>4分</x:v>
      </x:c>
      <x:c r="E673" s="11" t="n">
        <x:v>46</x:v>
      </x:c>
      <x:c r="F673" s="11" t="n">
        <x:v>162</x:v>
      </x:c>
      <x:c r="G673" s="12" t="n">
        <x:f>IF(F673=0,"n.a.",E673/F673)</x:f>
        <x:v>0.2839506172839506</x:v>
      </x:c>
      <x:c r="H673" s="13" t="str">
        <x:v>Q22高分=差距大；Q35高分=通道畅通；其余按题意</x:v>
      </x:c>
      <x:c r="I673" s="2" t="str">
        <x:v>数值版 Sheet1!GD2:GJ163</x:v>
      </x:c>
    </x:row>
    <x:row r="674" ht="30" customHeight="1">
      <x:c r="A674" s="2" t="str">
        <x:v>Q43</x:v>
      </x:c>
      <x:c r="B674" s="2" t="str">
        <x:v>五级量表</x:v>
      </x:c>
      <x:c r="C674" s="13" t="str">
        <x:v>M7 参与医保收费、物价检查</x:v>
      </x:c>
      <x:c r="D674" s="2" t="str">
        <x:v>5分</x:v>
      </x:c>
      <x:c r="E674" s="11" t="n">
        <x:v>96</x:v>
      </x:c>
      <x:c r="F674" s="11" t="n">
        <x:v>162</x:v>
      </x:c>
      <x:c r="G674" s="12" t="n">
        <x:f>IF(F674=0,"n.a.",E674/F674)</x:f>
        <x:v>0.5925925925925926</x:v>
      </x:c>
      <x:c r="H674" s="13" t="str">
        <x:v>Q22高分=差距大；Q35高分=通道畅通；其余按题意</x:v>
      </x:c>
      <x:c r="I674" s="2" t="str">
        <x:v>数值版 Sheet1!GD2:GJ163</x:v>
      </x:c>
    </x:row>
    <x:row r="675" ht="30" customHeight="1">
      <x:c r="A675" s="2" t="str">
        <x:v>Q44</x:v>
      </x:c>
      <x:c r="B675" s="2" t="str">
        <x:v>多选</x:v>
      </x:c>
      <x:c r="C675" s="13" t="str">
        <x:v>院内设立实训岗位与教学点</x:v>
      </x:c>
      <x:c r="D675" s="2" t="str">
        <x:v>选中</x:v>
      </x:c>
      <x:c r="E675" s="11" t="n">
        <x:v>119</x:v>
      </x:c>
      <x:c r="F675" s="11" t="n">
        <x:v>162</x:v>
      </x:c>
      <x:c r="G675" s="12" t="n">
        <x:f>IF(F675=0,"n.a.",E675/F675)</x:f>
        <x:v>0.7345679012345679</x:v>
      </x:c>
      <x:c r="H675" s="13" t="str">
        <x:v>多选：各选项比例之和可超过100%</x:v>
      </x:c>
      <x:c r="I675" s="2" t="str">
        <x:v>数值版 Sheet1!GK2:GN163</x:v>
      </x:c>
    </x:row>
    <x:row r="676" ht="30" customHeight="1">
      <x:c r="A676" s="2" t="str">
        <x:v>Q44</x:v>
      </x:c>
      <x:c r="B676" s="2" t="str">
        <x:v>多选</x:v>
      </x:c>
      <x:c r="C676" s="13" t="str">
        <x:v>院内设立实训岗位与教学点</x:v>
      </x:c>
      <x:c r="D676" s="2" t="str">
        <x:v>未选中</x:v>
      </x:c>
      <x:c r="E676" s="11" t="n">
        <x:v>43</x:v>
      </x:c>
      <x:c r="F676" s="11" t="n">
        <x:v>162</x:v>
      </x:c>
      <x:c r="G676" s="12" t="n">
        <x:f>IF(F676=0,"n.a.",E676/F676)</x:f>
        <x:v>0.2654320987654321</x:v>
      </x:c>
      <x:c r="H676" s="13" t="str">
        <x:v>未选中不等于缺失</x:v>
      </x:c>
      <x:c r="I676" s="2" t="str">
        <x:v>数值版 Sheet1!GK2:GN163</x:v>
      </x:c>
    </x:row>
    <x:row r="677" ht="30" customHeight="1">
      <x:c r="A677" s="2" t="str">
        <x:v>Q44</x:v>
      </x:c>
      <x:c r="B677" s="2" t="str">
        <x:v>多选</x:v>
      </x:c>
      <x:c r="C677" s="13" t="str">
        <x:v>依托区域龙头医院建立实训基地联盟</x:v>
      </x:c>
      <x:c r="D677" s="2" t="str">
        <x:v>选中</x:v>
      </x:c>
      <x:c r="E677" s="11" t="n">
        <x:v>129</x:v>
      </x:c>
      <x:c r="F677" s="11" t="n">
        <x:v>162</x:v>
      </x:c>
      <x:c r="G677" s="12" t="n">
        <x:f>IF(F677=0,"n.a.",E677/F677)</x:f>
        <x:v>0.7962962962962963</x:v>
      </x:c>
      <x:c r="H677" s="13" t="str">
        <x:v>多选：各选项比例之和可超过100%</x:v>
      </x:c>
      <x:c r="I677" s="2" t="str">
        <x:v>数值版 Sheet1!GK2:GN163</x:v>
      </x:c>
    </x:row>
    <x:row r="678" ht="30" customHeight="1">
      <x:c r="A678" s="2" t="str">
        <x:v>Q44</x:v>
      </x:c>
      <x:c r="B678" s="2" t="str">
        <x:v>多选</x:v>
      </x:c>
      <x:c r="C678" s="13" t="str">
        <x:v>依托区域龙头医院建立实训基地联盟</x:v>
      </x:c>
      <x:c r="D678" s="2" t="str">
        <x:v>未选中</x:v>
      </x:c>
      <x:c r="E678" s="11" t="n">
        <x:v>33</x:v>
      </x:c>
      <x:c r="F678" s="11" t="n">
        <x:v>162</x:v>
      </x:c>
      <x:c r="G678" s="12" t="n">
        <x:f>IF(F678=0,"n.a.",E678/F678)</x:f>
        <x:v>0.2037037037037037</x:v>
      </x:c>
      <x:c r="H678" s="13" t="str">
        <x:v>未选中不等于缺失</x:v>
      </x:c>
      <x:c r="I678" s="2" t="str">
        <x:v>数值版 Sheet1!GK2:GN163</x:v>
      </x:c>
    </x:row>
    <x:row r="679" ht="30" customHeight="1">
      <x:c r="A679" s="2" t="str">
        <x:v>Q44</x:v>
      </x:c>
      <x:c r="B679" s="2" t="str">
        <x:v>多选</x:v>
      </x:c>
      <x:c r="C679" s="13" t="str">
        <x:v>依托第三方共建实践基地</x:v>
      </x:c>
      <x:c r="D679" s="2" t="str">
        <x:v>选中</x:v>
      </x:c>
      <x:c r="E679" s="11" t="n">
        <x:v>88</x:v>
      </x:c>
      <x:c r="F679" s="11" t="n">
        <x:v>162</x:v>
      </x:c>
      <x:c r="G679" s="12" t="n">
        <x:f>IF(F679=0,"n.a.",E679/F679)</x:f>
        <x:v>0.5432098765432098</x:v>
      </x:c>
      <x:c r="H679" s="13" t="str">
        <x:v>多选：各选项比例之和可超过100%</x:v>
      </x:c>
      <x:c r="I679" s="2" t="str">
        <x:v>数值版 Sheet1!GK2:GN163</x:v>
      </x:c>
    </x:row>
    <x:row r="680" ht="30" customHeight="1">
      <x:c r="A680" s="2" t="str">
        <x:v>Q44</x:v>
      </x:c>
      <x:c r="B680" s="2" t="str">
        <x:v>多选</x:v>
      </x:c>
      <x:c r="C680" s="13" t="str">
        <x:v>依托第三方共建实践基地</x:v>
      </x:c>
      <x:c r="D680" s="2" t="str">
        <x:v>未选中</x:v>
      </x:c>
      <x:c r="E680" s="11" t="n">
        <x:v>74</x:v>
      </x:c>
      <x:c r="F680" s="11" t="n">
        <x:v>162</x:v>
      </x:c>
      <x:c r="G680" s="12" t="n">
        <x:f>IF(F680=0,"n.a.",E680/F680)</x:f>
        <x:v>0.4567901234567901</x:v>
      </x:c>
      <x:c r="H680" s="13" t="str">
        <x:v>未选中不等于缺失</x:v>
      </x:c>
      <x:c r="I680" s="2" t="str">
        <x:v>数值版 Sheet1!GK2:GN163</x:v>
      </x:c>
    </x:row>
    <x:row r="681" ht="30" customHeight="1">
      <x:c r="A681" s="2" t="str">
        <x:v>Q44</x:v>
      </x:c>
      <x:c r="B681" s="2" t="str">
        <x:v>多选</x:v>
      </x:c>
      <x:c r="C681" s="13" t="str">
        <x:v>其他（请注明）</x:v>
      </x:c>
      <x:c r="D681" s="2" t="str">
        <x:v>选中</x:v>
      </x:c>
      <x:c r="E681" s="11" t="n">
        <x:v>1</x:v>
      </x:c>
      <x:c r="F681" s="11" t="n">
        <x:v>162</x:v>
      </x:c>
      <x:c r="G681" s="12" t="n">
        <x:f>IF(F681=0,"n.a.",E681/F681)</x:f>
        <x:v>0.006172839506172839</x:v>
      </x:c>
      <x:c r="H681" s="13" t="str">
        <x:v>多选：各选项比例之和可超过100%</x:v>
      </x:c>
      <x:c r="I681" s="2" t="str">
        <x:v>数值版 Sheet1!GK2:GN163</x:v>
      </x:c>
    </x:row>
    <x:row r="682" ht="30" customHeight="1">
      <x:c r="A682" s="2" t="str">
        <x:v>Q44</x:v>
      </x:c>
      <x:c r="B682" s="2" t="str">
        <x:v>多选</x:v>
      </x:c>
      <x:c r="C682" s="13" t="str">
        <x:v>其他（请注明）</x:v>
      </x:c>
      <x:c r="D682" s="2" t="str">
        <x:v>未选中</x:v>
      </x:c>
      <x:c r="E682" s="11" t="n">
        <x:v>161</x:v>
      </x:c>
      <x:c r="F682" s="11" t="n">
        <x:v>162</x:v>
      </x:c>
      <x:c r="G682" s="12" t="n">
        <x:f>IF(F682=0,"n.a.",E682/F682)</x:f>
        <x:v>0.9938271604938271</x:v>
      </x:c>
      <x:c r="H682" s="13" t="str">
        <x:v>未选中不等于缺失</x:v>
      </x:c>
      <x:c r="I682" s="2" t="str">
        <x:v>数值版 Sheet1!GK2:GN163</x:v>
      </x:c>
    </x:row>
    <x:row r="683" ht="30" customHeight="1">
      <x:c r="A683" s="2" t="str">
        <x:v>Q45</x:v>
      </x:c>
      <x:c r="B683" s="2" t="str">
        <x:v>多选</x:v>
      </x:c>
      <x:c r="C683" s="13" t="str">
        <x:v>改进工作:将培养成果转化为实际管理改进举措</x:v>
      </x:c>
      <x:c r="D683" s="2" t="str">
        <x:v>选中</x:v>
      </x:c>
      <x:c r="E683" s="11" t="n">
        <x:v>139</x:v>
      </x:c>
      <x:c r="F683" s="11" t="n">
        <x:v>162</x:v>
      </x:c>
      <x:c r="G683" s="12" t="n">
        <x:f>IF(F683=0,"n.a.",E683/F683)</x:f>
        <x:v>0.8580246913580247</x:v>
      </x:c>
      <x:c r="H683" s="13" t="str">
        <x:v>多选：各选项比例之和可超过100%</x:v>
      </x:c>
      <x:c r="I683" s="2" t="str">
        <x:v>数值版 Sheet1!GO2:GR163</x:v>
      </x:c>
    </x:row>
    <x:row r="684" ht="30" customHeight="1">
      <x:c r="A684" s="2" t="str">
        <x:v>Q45</x:v>
      </x:c>
      <x:c r="B684" s="2" t="str">
        <x:v>多选</x:v>
      </x:c>
      <x:c r="C684" s="13" t="str">
        <x:v>改进工作:将培养成果转化为实际管理改进举措</x:v>
      </x:c>
      <x:c r="D684" s="2" t="str">
        <x:v>未选中</x:v>
      </x:c>
      <x:c r="E684" s="11" t="n">
        <x:v>23</x:v>
      </x:c>
      <x:c r="F684" s="11" t="n">
        <x:v>162</x:v>
      </x:c>
      <x:c r="G684" s="12" t="n">
        <x:f>IF(F684=0,"n.a.",E684/F684)</x:f>
        <x:v>0.1419753086419753</x:v>
      </x:c>
      <x:c r="H684" s="13" t="str">
        <x:v>未选中不等于缺失</x:v>
      </x:c>
      <x:c r="I684" s="2" t="str">
        <x:v>数值版 Sheet1!GO2:GR163</x:v>
      </x:c>
    </x:row>
    <x:row r="685" ht="30" customHeight="1">
      <x:c r="A685" s="2" t="str">
        <x:v>Q45</x:v>
      </x:c>
      <x:c r="B685" s="2" t="str">
        <x:v>多选</x:v>
      </x:c>
      <x:c r="C685" s="13" t="str">
        <x:v>案例总结:提炼形成典型案例并交流推广</x:v>
      </x:c>
      <x:c r="D685" s="2" t="str">
        <x:v>选中</x:v>
      </x:c>
      <x:c r="E685" s="11" t="n">
        <x:v>126</x:v>
      </x:c>
      <x:c r="F685" s="11" t="n">
        <x:v>162</x:v>
      </x:c>
      <x:c r="G685" s="12" t="n">
        <x:f>IF(F685=0,"n.a.",E685/F685)</x:f>
        <x:v>0.7777777777777778</x:v>
      </x:c>
      <x:c r="H685" s="13" t="str">
        <x:v>多选：各选项比例之和可超过100%</x:v>
      </x:c>
      <x:c r="I685" s="2" t="str">
        <x:v>数值版 Sheet1!GO2:GR163</x:v>
      </x:c>
    </x:row>
    <x:row r="686" ht="30" customHeight="1">
      <x:c r="A686" s="2" t="str">
        <x:v>Q45</x:v>
      </x:c>
      <x:c r="B686" s="2" t="str">
        <x:v>多选</x:v>
      </x:c>
      <x:c r="C686" s="13" t="str">
        <x:v>案例总结:提炼形成典型案例并交流推广</x:v>
      </x:c>
      <x:c r="D686" s="2" t="str">
        <x:v>未选中</x:v>
      </x:c>
      <x:c r="E686" s="11" t="n">
        <x:v>36</x:v>
      </x:c>
      <x:c r="F686" s="11" t="n">
        <x:v>162</x:v>
      </x:c>
      <x:c r="G686" s="12" t="n">
        <x:f>IF(F686=0,"n.a.",E686/F686)</x:f>
        <x:v>0.2222222222222222</x:v>
      </x:c>
      <x:c r="H686" s="13" t="str">
        <x:v>未选中不等于缺失</x:v>
      </x:c>
      <x:c r="I686" s="2" t="str">
        <x:v>数值版 Sheet1!GO2:GR163</x:v>
      </x:c>
    </x:row>
    <x:row r="687" ht="30" customHeight="1">
      <x:c r="A687" s="2" t="str">
        <x:v>Q45</x:v>
      </x:c>
      <x:c r="B687" s="2" t="str">
        <x:v>多选</x:v>
      </x:c>
      <x:c r="C687" s="13" t="str">
        <x:v>决策参考:形成分析建议，为领导决策提供参考</x:v>
      </x:c>
      <x:c r="D687" s="2" t="str">
        <x:v>选中</x:v>
      </x:c>
      <x:c r="E687" s="11" t="n">
        <x:v>131</x:v>
      </x:c>
      <x:c r="F687" s="11" t="n">
        <x:v>162</x:v>
      </x:c>
      <x:c r="G687" s="12" t="n">
        <x:f>IF(F687=0,"n.a.",E687/F687)</x:f>
        <x:v>0.808641975308642</x:v>
      </x:c>
      <x:c r="H687" s="13" t="str">
        <x:v>多选：各选项比例之和可超过100%</x:v>
      </x:c>
      <x:c r="I687" s="2" t="str">
        <x:v>数值版 Sheet1!GO2:GR163</x:v>
      </x:c>
    </x:row>
    <x:row r="688" ht="30" customHeight="1">
      <x:c r="A688" s="2" t="str">
        <x:v>Q45</x:v>
      </x:c>
      <x:c r="B688" s="2" t="str">
        <x:v>多选</x:v>
      </x:c>
      <x:c r="C688" s="13" t="str">
        <x:v>决策参考:形成分析建议，为领导决策提供参考</x:v>
      </x:c>
      <x:c r="D688" s="2" t="str">
        <x:v>未选中</x:v>
      </x:c>
      <x:c r="E688" s="11" t="n">
        <x:v>31</x:v>
      </x:c>
      <x:c r="F688" s="11" t="n">
        <x:v>162</x:v>
      </x:c>
      <x:c r="G688" s="12" t="n">
        <x:f>IF(F688=0,"n.a.",E688/F688)</x:f>
        <x:v>0.19135802469135801</x:v>
      </x:c>
      <x:c r="H688" s="13" t="str">
        <x:v>未选中不等于缺失</x:v>
      </x:c>
      <x:c r="I688" s="2" t="str">
        <x:v>数值版 Sheet1!GO2:GR163</x:v>
      </x:c>
    </x:row>
    <x:row r="689" ht="30" customHeight="1">
      <x:c r="A689" s="2" t="str">
        <x:v>Q45</x:v>
      </x:c>
      <x:c r="B689" s="2" t="str">
        <x:v>多选</x:v>
      </x:c>
      <x:c r="C689" s="13" t="str">
        <x:v>其他（请注明）</x:v>
      </x:c>
      <x:c r="D689" s="2" t="str">
        <x:v>选中</x:v>
      </x:c>
      <x:c r="E689" s="11" t="n">
        <x:v>0</x:v>
      </x:c>
      <x:c r="F689" s="11" t="n">
        <x:v>162</x:v>
      </x:c>
      <x:c r="G689" s="12" t="n">
        <x:f>IF(F689=0,"n.a.",E689/F689)</x:f>
        <x:v>0</x:v>
      </x:c>
      <x:c r="H689" s="13" t="str">
        <x:v>多选：各选项比例之和可超过100%</x:v>
      </x:c>
      <x:c r="I689" s="2" t="str">
        <x:v>数值版 Sheet1!GO2:GR163</x:v>
      </x:c>
    </x:row>
    <x:row r="690" ht="30" customHeight="1">
      <x:c r="A690" s="2" t="str">
        <x:v>Q45</x:v>
      </x:c>
      <x:c r="B690" s="2" t="str">
        <x:v>多选</x:v>
      </x:c>
      <x:c r="C690" s="13" t="str">
        <x:v>其他（请注明）</x:v>
      </x:c>
      <x:c r="D690" s="2" t="str">
        <x:v>未选中</x:v>
      </x:c>
      <x:c r="E690" s="11" t="n">
        <x:v>162</x:v>
      </x:c>
      <x:c r="F690" s="11" t="n">
        <x:v>162</x:v>
      </x:c>
      <x:c r="G690" s="12" t="n">
        <x:f>IF(F690=0,"n.a.",E690/F690)</x:f>
        <x:v>1</x:v>
      </x:c>
      <x:c r="H690" s="13" t="str">
        <x:v>未选中不等于缺失</x:v>
      </x:c>
      <x:c r="I690" s="2" t="str">
        <x:v>数值版 Sheet1!GO2:GR163</x:v>
      </x:c>
    </x:row>
    <x:row r="691" ht="30" customHeight="1">
      <x:c r="A691" s="2" t="str">
        <x:v>Q46</x:v>
      </x:c>
      <x:c r="B691" s="2" t="str">
        <x:v>多选</x:v>
      </x:c>
      <x:c r="C691" s="13" t="str">
        <x:v>培养内容与实际工作需求脱节</x:v>
      </x:c>
      <x:c r="D691" s="2" t="str">
        <x:v>选中</x:v>
      </x:c>
      <x:c r="E691" s="11" t="n">
        <x:v>86</x:v>
      </x:c>
      <x:c r="F691" s="11" t="n">
        <x:v>162</x:v>
      </x:c>
      <x:c r="G691" s="12" t="n">
        <x:f>IF(F691=0,"n.a.",E691/F691)</x:f>
        <x:v>0.5308641975308642</x:v>
      </x:c>
      <x:c r="H691" s="13" t="str">
        <x:v>多选：各选项比例之和可超过100%</x:v>
      </x:c>
      <x:c r="I691" s="2" t="str">
        <x:v>数值版 Sheet1!GS2:GX163</x:v>
      </x:c>
    </x:row>
    <x:row r="692" ht="30" customHeight="1">
      <x:c r="A692" s="2" t="str">
        <x:v>Q46</x:v>
      </x:c>
      <x:c r="B692" s="2" t="str">
        <x:v>多选</x:v>
      </x:c>
      <x:c r="C692" s="13" t="str">
        <x:v>培养内容与实际工作需求脱节</x:v>
      </x:c>
      <x:c r="D692" s="2" t="str">
        <x:v>未选中</x:v>
      </x:c>
      <x:c r="E692" s="11" t="n">
        <x:v>76</x:v>
      </x:c>
      <x:c r="F692" s="11" t="n">
        <x:v>162</x:v>
      </x:c>
      <x:c r="G692" s="12" t="n">
        <x:f>IF(F692=0,"n.a.",E692/F692)</x:f>
        <x:v>0.4691358024691358</x:v>
      </x:c>
      <x:c r="H692" s="13" t="str">
        <x:v>未选中不等于缺失</x:v>
      </x:c>
      <x:c r="I692" s="2" t="str">
        <x:v>数值版 Sheet1!GS2:GX163</x:v>
      </x:c>
    </x:row>
    <x:row r="693" ht="30" customHeight="1">
      <x:c r="A693" s="2" t="str">
        <x:v>Q46</x:v>
      </x:c>
      <x:c r="B693" s="2" t="str">
        <x:v>多选</x:v>
      </x:c>
      <x:c r="C693" s="13" t="str">
        <x:v>实践锻炼与项目历练机会不足</x:v>
      </x:c>
      <x:c r="D693" s="2" t="str">
        <x:v>选中</x:v>
      </x:c>
      <x:c r="E693" s="11" t="n">
        <x:v>126</x:v>
      </x:c>
      <x:c r="F693" s="11" t="n">
        <x:v>162</x:v>
      </x:c>
      <x:c r="G693" s="12" t="n">
        <x:f>IF(F693=0,"n.a.",E693/F693)</x:f>
        <x:v>0.7777777777777778</x:v>
      </x:c>
      <x:c r="H693" s="13" t="str">
        <x:v>多选：各选项比例之和可超过100%</x:v>
      </x:c>
      <x:c r="I693" s="2" t="str">
        <x:v>数值版 Sheet1!GS2:GX163</x:v>
      </x:c>
    </x:row>
    <x:row r="694" ht="30" customHeight="1">
      <x:c r="A694" s="2" t="str">
        <x:v>Q46</x:v>
      </x:c>
      <x:c r="B694" s="2" t="str">
        <x:v>多选</x:v>
      </x:c>
      <x:c r="C694" s="13" t="str">
        <x:v>实践锻炼与项目历练机会不足</x:v>
      </x:c>
      <x:c r="D694" s="2" t="str">
        <x:v>未选中</x:v>
      </x:c>
      <x:c r="E694" s="11" t="n">
        <x:v>36</x:v>
      </x:c>
      <x:c r="F694" s="11" t="n">
        <x:v>162</x:v>
      </x:c>
      <x:c r="G694" s="12" t="n">
        <x:f>IF(F694=0,"n.a.",E694/F694)</x:f>
        <x:v>0.2222222222222222</x:v>
      </x:c>
      <x:c r="H694" s="13" t="str">
        <x:v>未选中不等于缺失</x:v>
      </x:c>
      <x:c r="I694" s="2" t="str">
        <x:v>数值版 Sheet1!GS2:GX163</x:v>
      </x:c>
    </x:row>
    <x:row r="695" ht="30" customHeight="1">
      <x:c r="A695" s="2" t="str">
        <x:v>Q46</x:v>
      </x:c>
      <x:c r="B695" s="2" t="str">
        <x:v>多选</x:v>
      </x:c>
      <x:c r="C695" s="13" t="str">
        <x:v>考核激励与结果运用机制不完善</x:v>
      </x:c>
      <x:c r="D695" s="2" t="str">
        <x:v>选中</x:v>
      </x:c>
      <x:c r="E695" s="11" t="n">
        <x:v>96</x:v>
      </x:c>
      <x:c r="F695" s="11" t="n">
        <x:v>162</x:v>
      </x:c>
      <x:c r="G695" s="12" t="n">
        <x:f>IF(F695=0,"n.a.",E695/F695)</x:f>
        <x:v>0.5925925925925926</x:v>
      </x:c>
      <x:c r="H695" s="13" t="str">
        <x:v>多选：各选项比例之和可超过100%</x:v>
      </x:c>
      <x:c r="I695" s="2" t="str">
        <x:v>数值版 Sheet1!GS2:GX163</x:v>
      </x:c>
    </x:row>
    <x:row r="696" ht="30" customHeight="1">
      <x:c r="A696" s="2" t="str">
        <x:v>Q46</x:v>
      </x:c>
      <x:c r="B696" s="2" t="str">
        <x:v>多选</x:v>
      </x:c>
      <x:c r="C696" s="13" t="str">
        <x:v>考核激励与结果运用机制不完善</x:v>
      </x:c>
      <x:c r="D696" s="2" t="str">
        <x:v>未选中</x:v>
      </x:c>
      <x:c r="E696" s="11" t="n">
        <x:v>66</x:v>
      </x:c>
      <x:c r="F696" s="11" t="n">
        <x:v>162</x:v>
      </x:c>
      <x:c r="G696" s="12" t="n">
        <x:f>IF(F696=0,"n.a.",E696/F696)</x:f>
        <x:v>0.4074074074074074</x:v>
      </x:c>
      <x:c r="H696" s="13" t="str">
        <x:v>未选中不等于缺失</x:v>
      </x:c>
      <x:c r="I696" s="2" t="str">
        <x:v>数值版 Sheet1!GS2:GX163</x:v>
      </x:c>
    </x:row>
    <x:row r="697" ht="30" customHeight="1">
      <x:c r="A697" s="2" t="str">
        <x:v>Q46</x:v>
      </x:c>
      <x:c r="B697" s="2" t="str">
        <x:v>多选</x:v>
      </x:c>
      <x:c r="C697" s="13" t="str">
        <x:v>职业发展通道与职称晋升衔接不畅</x:v>
      </x:c>
      <x:c r="D697" s="2" t="str">
        <x:v>选中</x:v>
      </x:c>
      <x:c r="E697" s="11" t="n">
        <x:v>60</x:v>
      </x:c>
      <x:c r="F697" s="11" t="n">
        <x:v>162</x:v>
      </x:c>
      <x:c r="G697" s="12" t="n">
        <x:f>IF(F697=0,"n.a.",E697/F697)</x:f>
        <x:v>0.37037037037037035</x:v>
      </x:c>
      <x:c r="H697" s="13" t="str">
        <x:v>多选：各选项比例之和可超过100%</x:v>
      </x:c>
      <x:c r="I697" s="2" t="str">
        <x:v>数值版 Sheet1!GS2:GX163</x:v>
      </x:c>
    </x:row>
    <x:row r="698" ht="30" customHeight="1">
      <x:c r="A698" s="2" t="str">
        <x:v>Q46</x:v>
      </x:c>
      <x:c r="B698" s="2" t="str">
        <x:v>多选</x:v>
      </x:c>
      <x:c r="C698" s="13" t="str">
        <x:v>职业发展通道与职称晋升衔接不畅</x:v>
      </x:c>
      <x:c r="D698" s="2" t="str">
        <x:v>未选中</x:v>
      </x:c>
      <x:c r="E698" s="11" t="n">
        <x:v>102</x:v>
      </x:c>
      <x:c r="F698" s="11" t="n">
        <x:v>162</x:v>
      </x:c>
      <x:c r="G698" s="12" t="n">
        <x:f>IF(F698=0,"n.a.",E698/F698)</x:f>
        <x:v>0.6296296296296297</x:v>
      </x:c>
      <x:c r="H698" s="13" t="str">
        <x:v>未选中不等于缺失</x:v>
      </x:c>
      <x:c r="I698" s="2" t="str">
        <x:v>数值版 Sheet1!GS2:GX163</x:v>
      </x:c>
    </x:row>
    <x:row r="699" ht="30" customHeight="1">
      <x:c r="A699" s="2" t="str">
        <x:v>Q46</x:v>
      </x:c>
      <x:c r="B699" s="2" t="str">
        <x:v>多选</x:v>
      </x:c>
      <x:c r="C699" s="13" t="str">
        <x:v>师资与经费投入不足</x:v>
      </x:c>
      <x:c r="D699" s="2" t="str">
        <x:v>选中</x:v>
      </x:c>
      <x:c r="E699" s="11" t="n">
        <x:v>40</x:v>
      </x:c>
      <x:c r="F699" s="11" t="n">
        <x:v>162</x:v>
      </x:c>
      <x:c r="G699" s="12" t="n">
        <x:f>IF(F699=0,"n.a.",E699/F699)</x:f>
        <x:v>0.24691358024691357</x:v>
      </x:c>
      <x:c r="H699" s="13" t="str">
        <x:v>多选：各选项比例之和可超过100%</x:v>
      </x:c>
      <x:c r="I699" s="2" t="str">
        <x:v>数值版 Sheet1!GS2:GX163</x:v>
      </x:c>
    </x:row>
    <x:row r="700" ht="30" customHeight="1">
      <x:c r="A700" s="2" t="str">
        <x:v>Q46</x:v>
      </x:c>
      <x:c r="B700" s="2" t="str">
        <x:v>多选</x:v>
      </x:c>
      <x:c r="C700" s="13" t="str">
        <x:v>师资与经费投入不足</x:v>
      </x:c>
      <x:c r="D700" s="2" t="str">
        <x:v>未选中</x:v>
      </x:c>
      <x:c r="E700" s="11" t="n">
        <x:v>122</x:v>
      </x:c>
      <x:c r="F700" s="11" t="n">
        <x:v>162</x:v>
      </x:c>
      <x:c r="G700" s="12" t="n">
        <x:f>IF(F700=0,"n.a.",E700/F700)</x:f>
        <x:v>0.7530864197530864</x:v>
      </x:c>
      <x:c r="H700" s="13" t="str">
        <x:v>未选中不等于缺失</x:v>
      </x:c>
      <x:c r="I700" s="2" t="str">
        <x:v>数值版 Sheet1!GS2:GX163</x:v>
      </x:c>
    </x:row>
    <x:row r="701" ht="30" customHeight="1">
      <x:c r="A701" s="2" t="str">
        <x:v>Q46</x:v>
      </x:c>
      <x:c r="B701" s="2" t="str">
        <x:v>多选</x:v>
      </x:c>
      <x:c r="C701" s="13" t="str">
        <x:v>其他（请注明）</x:v>
      </x:c>
      <x:c r="D701" s="2" t="str">
        <x:v>选中</x:v>
      </x:c>
      <x:c r="E701" s="11" t="n">
        <x:v>1</x:v>
      </x:c>
      <x:c r="F701" s="11" t="n">
        <x:v>162</x:v>
      </x:c>
      <x:c r="G701" s="12" t="n">
        <x:f>IF(F701=0,"n.a.",E701/F701)</x:f>
        <x:v>0.006172839506172839</x:v>
      </x:c>
      <x:c r="H701" s="13" t="str">
        <x:v>多选：各选项比例之和可超过100%</x:v>
      </x:c>
      <x:c r="I701" s="2" t="str">
        <x:v>数值版 Sheet1!GS2:GX163</x:v>
      </x:c>
    </x:row>
    <x:row r="702" ht="30" customHeight="1">
      <x:c r="A702" s="2" t="str">
        <x:v>Q46</x:v>
      </x:c>
      <x:c r="B702" s="2" t="str">
        <x:v>多选</x:v>
      </x:c>
      <x:c r="C702" s="13" t="str">
        <x:v>其他（请注明）</x:v>
      </x:c>
      <x:c r="D702" s="2" t="str">
        <x:v>未选中</x:v>
      </x:c>
      <x:c r="E702" s="11" t="n">
        <x:v>161</x:v>
      </x:c>
      <x:c r="F702" s="11" t="n">
        <x:v>162</x:v>
      </x:c>
      <x:c r="G702" s="12" t="n">
        <x:f>IF(F702=0,"n.a.",E702/F702)</x:f>
        <x:v>0.9938271604938271</x:v>
      </x:c>
      <x:c r="H702" s="13" t="str">
        <x:v>未选中不等于缺失</x:v>
      </x:c>
      <x:c r="I702" s="2" t="str">
        <x:v>数值版 Sheet1!GS2:GX163</x:v>
      </x:c>
    </x:row>
    <x:row r="703" ht="30" customHeight="1">
      <x:c r="A703" s="2" t="str">
        <x:v>Q47</x:v>
      </x:c>
      <x:c r="B703" s="2" t="str">
        <x:v>开放建议</x:v>
      </x:c>
      <x:c r="C703" s="13" t="str">
        <x:v>治理与组织支持</x:v>
      </x:c>
      <x:c r="D703" s="2" t="str">
        <x:v>关键词主题</x:v>
      </x:c>
      <x:c r="E703" s="11" t="n">
        <x:v>7</x:v>
      </x:c>
      <x:c r="F703" s="11" t="n">
        <x:v>12</x:v>
      </x:c>
      <x:c r="G703" s="12" t="n">
        <x:f>IF(F703=0,"n.a.",E703/F703)</x:f>
        <x:v>0.5833333333333334</x:v>
      </x:c>
      <x:c r="H703" s="13" t="str">
        <x:v>12份实质意见内比例；多标签可重叠，不能外推至162份</x:v>
      </x:c>
      <x:c r="I703" s="2" t="str">
        <x:v>文本版 Sheet1!DY2:DY163；数值版GY2:GY163仅用于有无意见计数</x:v>
      </x:c>
    </x:row>
    <x:row r="704" ht="30" customHeight="1">
      <x:c r="A704" s="2" t="str">
        <x:v>Q47</x:v>
      </x:c>
      <x:c r="B704" s="2" t="str">
        <x:v>开放建议</x:v>
      </x:c>
      <x:c r="C704" s="13" t="str">
        <x:v>职业发展与公平激励</x:v>
      </x:c>
      <x:c r="D704" s="2" t="str">
        <x:v>关键词主题</x:v>
      </x:c>
      <x:c r="E704" s="11" t="n">
        <x:v>3</x:v>
      </x:c>
      <x:c r="F704" s="11" t="n">
        <x:v>12</x:v>
      </x:c>
      <x:c r="G704" s="12" t="n">
        <x:f>IF(F704=0,"n.a.",E704/F704)</x:f>
        <x:v>0.25</x:v>
      </x:c>
      <x:c r="H704" s="13" t="str">
        <x:v>12份实质意见内比例；多标签可重叠，不能外推至162份</x:v>
      </x:c>
      <x:c r="I704" s="2" t="str">
        <x:v>文本版 Sheet1!DY2:DY163；数值版GY2:GY163仅用于有无意见计数</x:v>
      </x:c>
    </x:row>
    <x:row r="705" ht="30" customHeight="1">
      <x:c r="A705" s="2" t="str">
        <x:v>Q47</x:v>
      </x:c>
      <x:c r="B705" s="2" t="str">
        <x:v>开放建议</x:v>
      </x:c>
      <x:c r="C705" s="13" t="str">
        <x:v>实践应用</x:v>
      </x:c>
      <x:c r="D705" s="2" t="str">
        <x:v>关键词主题</x:v>
      </x:c>
      <x:c r="E705" s="11" t="n">
        <x:v>3</x:v>
      </x:c>
      <x:c r="F705" s="11" t="n">
        <x:v>12</x:v>
      </x:c>
      <x:c r="G705" s="12" t="n">
        <x:f>IF(F705=0,"n.a.",E705/F705)</x:f>
        <x:v>0.25</x:v>
      </x:c>
      <x:c r="H705" s="13" t="str">
        <x:v>12份实质意见内比例；多标签可重叠，不能外推至162份</x:v>
      </x:c>
      <x:c r="I705" s="2" t="str">
        <x:v>文本版 Sheet1!DY2:DY163；数值版GY2:GY163仅用于有无意见计数</x:v>
      </x:c>
    </x:row>
    <x:row r="706" ht="30" customHeight="1">
      <x:c r="A706" s="2" t="str">
        <x:v>Q47</x:v>
      </x:c>
      <x:c r="B706" s="2" t="str">
        <x:v>开放建议</x:v>
      </x:c>
      <x:c r="C706" s="13" t="str">
        <x:v>经费或学习实践机会</x:v>
      </x:c>
      <x:c r="D706" s="2" t="str">
        <x:v>关键词主题</x:v>
      </x:c>
      <x:c r="E706" s="11" t="n">
        <x:v>2</x:v>
      </x:c>
      <x:c r="F706" s="11" t="n">
        <x:v>12</x:v>
      </x:c>
      <x:c r="G706" s="12" t="n">
        <x:f>IF(F706=0,"n.a.",E706/F706)</x:f>
        <x:v>0.16666666666666666</x:v>
      </x:c>
      <x:c r="H706" s="13" t="str">
        <x:v>12份实质意见内比例；多标签可重叠，不能外推至162份</x:v>
      </x:c>
      <x:c r="I706" s="2" t="str">
        <x:v>文本版 Sheet1!DY2:DY163；数值版GY2:GY163仅用于有无意见计数</x:v>
      </x:c>
    </x:row>
    <x:row r="707" ht="30" customHeight="1">
      <x:c r="A707" s="2" t="str">
        <x:v>Q47</x:v>
      </x:c>
      <x:c r="B707" s="2" t="str">
        <x:v>开放建议</x:v>
      </x:c>
      <x:c r="C707" s="13" t="str">
        <x:v>协同与案例共享</x:v>
      </x:c>
      <x:c r="D707" s="2" t="str">
        <x:v>关键词主题</x:v>
      </x:c>
      <x:c r="E707" s="11" t="n">
        <x:v>1</x:v>
      </x:c>
      <x:c r="F707" s="11" t="n">
        <x:v>12</x:v>
      </x:c>
      <x:c r="G707" s="12" t="n">
        <x:f>IF(F707=0,"n.a.",E707/F707)</x:f>
        <x:v>0.08333333333333333</x:v>
      </x:c>
      <x:c r="H707" s="13" t="str">
        <x:v>12份实质意见内比例；多标签可重叠，不能外推至162份</x:v>
      </x:c>
      <x:c r="I707" s="2" t="str">
        <x:v>文本版 Sheet1!DY2:DY163；数值版GY2:GY163仅用于有无意见计数</x:v>
      </x:c>
    </x:row>
  </x:sheetData>
  <x:pageMargins left="0.7" right="0.7" top="0.75" bottom="0.75" header="0.3" footer="0.3"/>
  <x:tableParts count="1">
    <x:tablePart xmlns:r="http://schemas.openxmlformats.org/officeDocument/2006/relationships" r:id="Rb3434e07448743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45" hidden="0" customWidth="1"/>
    <x:col min="3" max="3" width="8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9" hidden="0" customWidth="1"/>
    <x:col min="10" max="10" width="10.5" hidden="0" customWidth="1"/>
    <x:col min="11" max="11" width="8.5" hidden="0" customWidth="1"/>
    <x:col min="12" max="12" width="10.5" hidden="0" customWidth="1"/>
    <x:col min="13" max="13" width="11" hidden="0" customWidth="1"/>
    <x:col min="14" max="14" width="10.5" hidden="0" customWidth="1"/>
    <x:col min="15" max="15" width="11" hidden="0" customWidth="1"/>
    <x:col min="16" max="16" width="12.5" hidden="0" customWidth="1"/>
    <x:col min="17" max="17" width="12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1" customHeight="1">
      <x:c r="A2" s="4" t="str">
        <x:v>59个五级量表子项：分布与描述统计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4" customHeight="1">
      <x:c r="A3" s="5" t="str">
        <x:v>均值辅助描述有序回答。Q22高分为差距大，Q35高分为通道畅通；不合成为统一能力总分。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6" customHeight="1">
      <x:c r="A5" s="9" t="str">
        <x:v>题号</x:v>
      </x:c>
      <x:c r="B5" s="9" t="str">
        <x:v>量表子项</x:v>
      </x:c>
      <x:c r="C5" s="9" t="str">
        <x:v>有效数</x:v>
      </x:c>
      <x:c r="D5" s="9" t="str">
        <x:v>1分</x:v>
      </x:c>
      <x:c r="E5" s="9" t="str">
        <x:v>2分</x:v>
      </x:c>
      <x:c r="F5" s="9" t="str">
        <x:v>3分</x:v>
      </x:c>
      <x:c r="G5" s="9" t="str">
        <x:v>4分</x:v>
      </x:c>
      <x:c r="H5" s="9" t="str">
        <x:v>5分</x:v>
      </x:c>
      <x:c r="I5" s="9" t="str">
        <x:v>均值</x:v>
      </x:c>
      <x:c r="J5" s="9" t="str">
        <x:v>样本标准差</x:v>
      </x:c>
      <x:c r="K5" s="9" t="str">
        <x:v>中位数</x:v>
      </x:c>
      <x:c r="L5" s="9" t="str">
        <x:v>4至5分人数</x:v>
      </x:c>
      <x:c r="M5" s="9" t="str">
        <x:v>4至5分比例</x:v>
      </x:c>
      <x:c r="N5" s="9" t="str">
        <x:v>1至2分人数</x:v>
      </x:c>
      <x:c r="O5" s="9" t="str">
        <x:v>1至2分比例</x:v>
      </x:c>
      <x:c r="P5" s="9" t="str">
        <x:v>高分率95%下限</x:v>
      </x:c>
      <x:c r="Q5" s="9" t="str">
        <x:v>高分率95%上限</x:v>
      </x:c>
    </x:row>
    <x:row r="6" ht="30" customHeight="1">
      <x:c r="A6" s="2" t="str">
        <x:v>Q22</x:v>
      </x:c>
      <x:c r="B6" s="13" t="str">
        <x:v>D1 懂业务:理解医疗业务流程与临床运行规律</x:v>
      </x:c>
      <x:c r="C6" s="11" t="n">
        <x:f>SUM(D6:H6)</x:f>
        <x:v>162</x:v>
      </x:c>
      <x:c r="D6" s="11" t="n">
        <x:f>'全题频数'!E234</x:f>
        <x:v>8</x:v>
      </x:c>
      <x:c r="E6" s="11" t="n">
        <x:f>'全题频数'!E235</x:f>
        <x:v>20</x:v>
      </x:c>
      <x:c r="F6" s="11" t="n">
        <x:f>'全题频数'!E236</x:f>
        <x:v>68</x:v>
      </x:c>
      <x:c r="G6" s="11" t="n">
        <x:f>'全题频数'!E237</x:f>
        <x:v>47</x:v>
      </x:c>
      <x:c r="H6" s="11" t="n">
        <x:f>'全题频数'!E238</x:f>
        <x:v>19</x:v>
      </x:c>
      <x:c r="I6" s="14" t="n">
        <x:f>IF(C6=0,"n.a.",(D6+2*E6+3*F6+4*G6+5*H6)/C6)</x:f>
        <x:v>3.302469135802469</x:v>
      </x:c>
      <x:c r="J6" s="14" t="n">
        <x:f>IF(C6&lt;2,"n.a.",SQRT((D6+4*E6+9*F6+16*G6+25*H6-C6*I6^2)/(C6-1)))</x:f>
        <x:v>0.9974470902254657</x:v>
      </x:c>
      <x:c r="K6" s="14" t="n">
        <x:v>3</x:v>
      </x:c>
      <x:c r="L6" s="11" t="n">
        <x:f>SUM(G6:H6)</x:f>
        <x:v>66</x:v>
      </x:c>
      <x:c r="M6" s="12" t="n">
        <x:f>IF(C6=0,"n.a.",L6/C6)</x:f>
        <x:v>0.4074074074074074</x:v>
      </x:c>
      <x:c r="N6" s="11" t="n">
        <x:f>SUM(D6:E6)</x:f>
        <x:v>28</x:v>
      </x:c>
      <x:c r="O6" s="12" t="n">
        <x:f>IF(C6=0,"n.a.",N6/C6)</x:f>
        <x:v>0.1728395061728395</x:v>
      </x:c>
      <x:c r="P6" s="12" t="n">
        <x:v>0.33473993181886974</x:v>
      </x:c>
      <x:c r="Q6" s="12" t="n">
        <x:v>0.4843644090779644</x:v>
      </x:c>
    </x:row>
    <x:row r="7" ht="30" customHeight="1">
      <x:c r="A7" s="2" t="str">
        <x:v>Q22</x:v>
      </x:c>
      <x:c r="B7" s="13" t="str">
        <x:v>D2 通财务:掌握财务、预算、成本专业知识</x:v>
      </x:c>
      <x:c r="C7" s="11" t="n">
        <x:f>SUM(D7:H7)</x:f>
        <x:v>162</x:v>
      </x:c>
      <x:c r="D7" s="11" t="n">
        <x:f>'全题频数'!E239</x:f>
        <x:v>33</x:v>
      </x:c>
      <x:c r="E7" s="11" t="n">
        <x:f>'全题频数'!E240</x:f>
        <x:v>44</x:v>
      </x:c>
      <x:c r="F7" s="11" t="n">
        <x:f>'全题频数'!E241</x:f>
        <x:v>43</x:v>
      </x:c>
      <x:c r="G7" s="11" t="n">
        <x:f>'全题频数'!E242</x:f>
        <x:v>29</x:v>
      </x:c>
      <x:c r="H7" s="11" t="n">
        <x:f>'全题频数'!E243</x:f>
        <x:v>13</x:v>
      </x:c>
      <x:c r="I7" s="14" t="n">
        <x:f>IF(C7=0,"n.a.",(D7+2*E7+3*F7+4*G7+5*H7)/C7)</x:f>
        <x:v>2.6604938271604937</x:v>
      </x:c>
      <x:c r="J7" s="14" t="n">
        <x:f>IF(C7&lt;2,"n.a.",SQRT((D7+4*E7+9*F7+16*G7+25*H7-C7*I7^2)/(C7-1)))</x:f>
        <x:v>1.2166728904360078</x:v>
      </x:c>
      <x:c r="K7" s="14" t="n">
        <x:v>3</x:v>
      </x:c>
      <x:c r="L7" s="11" t="n">
        <x:f>SUM(G7:H7)</x:f>
        <x:v>42</x:v>
      </x:c>
      <x:c r="M7" s="12" t="n">
        <x:f>IF(C7=0,"n.a.",L7/C7)</x:f>
        <x:v>0.25925925925925924</x:v>
      </x:c>
      <x:c r="N7" s="11" t="n">
        <x:f>SUM(D7:E7)</x:f>
        <x:v>77</x:v>
      </x:c>
      <x:c r="O7" s="12" t="n">
        <x:f>IF(C7=0,"n.a.",N7/C7)</x:f>
        <x:v>0.47530864197530864</x:v>
      </x:c>
      <x:c r="P7" s="12" t="n">
        <x:v>0.19790662497598044</x:v>
      </x:c>
      <x:c r="Q7" s="12" t="n">
        <x:v>0.3317646613557884</x:v>
      </x:c>
    </x:row>
    <x:row r="8" ht="30" customHeight="1">
      <x:c r="A8" s="2" t="str">
        <x:v>Q22</x:v>
      </x:c>
      <x:c r="B8" s="13" t="str">
        <x:v>D3 善管理:具备运营管理与综合协调能力</x:v>
      </x:c>
      <x:c r="C8" s="11" t="n">
        <x:f>SUM(D8:H8)</x:f>
        <x:v>162</x:v>
      </x:c>
      <x:c r="D8" s="11" t="n">
        <x:f>'全题频数'!E244</x:f>
        <x:v>7</x:v>
      </x:c>
      <x:c r="E8" s="11" t="n">
        <x:f>'全题频数'!E245</x:f>
        <x:v>32</x:v>
      </x:c>
      <x:c r="F8" s="11" t="n">
        <x:f>'全题频数'!E246</x:f>
        <x:v>78</x:v>
      </x:c>
      <x:c r="G8" s="11" t="n">
        <x:f>'全题频数'!E247</x:f>
        <x:v>29</x:v>
      </x:c>
      <x:c r="H8" s="11" t="n">
        <x:f>'全题频数'!E248</x:f>
        <x:v>16</x:v>
      </x:c>
      <x:c r="I8" s="14" t="n">
        <x:f>IF(C8=0,"n.a.",(D8+2*E8+3*F8+4*G8+5*H8)/C8)</x:f>
        <x:v>3.0925925925925926</x:v>
      </x:c>
      <x:c r="J8" s="14" t="n">
        <x:f>IF(C8&lt;2,"n.a.",SQRT((D8+4*E8+9*F8+16*G8+25*H8-C8*I8^2)/(C8-1)))</x:f>
        <x:v>0.970403998314511</x:v>
      </x:c>
      <x:c r="K8" s="14" t="n">
        <x:v>3</x:v>
      </x:c>
      <x:c r="L8" s="11" t="n">
        <x:f>SUM(G8:H8)</x:f>
        <x:v>45</x:v>
      </x:c>
      <x:c r="M8" s="12" t="n">
        <x:f>IF(C8=0,"n.a.",L8/C8)</x:f>
        <x:v>0.2777777777777778</x:v>
      </x:c>
      <x:c r="N8" s="11" t="n">
        <x:f>SUM(D8:E8)</x:f>
        <x:v>39</x:v>
      </x:c>
      <x:c r="O8" s="12" t="n">
        <x:f>IF(C8=0,"n.a.",N8/C8)</x:f>
        <x:v>0.24074074074074073</x:v>
      </x:c>
      <x:c r="P8" s="12" t="n">
        <x:v>0.2145623343719708</x:v>
      </x:c>
      <x:c r="Q8" s="12" t="n">
        <x:v>0.3512880837804312</x:v>
      </x:c>
    </x:row>
    <x:row r="9" ht="30" customHeight="1">
      <x:c r="A9" s="2" t="str">
        <x:v>Q22</x:v>
      </x:c>
      <x:c r="B9" s="13" t="str">
        <x:v>D4 会数据:具备数字化工具与数据分析能力</x:v>
      </x:c>
      <x:c r="C9" s="11" t="n">
        <x:f>SUM(D9:H9)</x:f>
        <x:v>162</x:v>
      </x:c>
      <x:c r="D9" s="11" t="n">
        <x:f>'全题频数'!E249</x:f>
        <x:v>14</x:v>
      </x:c>
      <x:c r="E9" s="11" t="n">
        <x:f>'全题频数'!E250</x:f>
        <x:v>22</x:v>
      </x:c>
      <x:c r="F9" s="11" t="n">
        <x:f>'全题频数'!E251</x:f>
        <x:v>69</x:v>
      </x:c>
      <x:c r="G9" s="11" t="n">
        <x:f>'全题频数'!E252</x:f>
        <x:v>43</x:v>
      </x:c>
      <x:c r="H9" s="11" t="n">
        <x:f>'全题频数'!E253</x:f>
        <x:v>14</x:v>
      </x:c>
      <x:c r="I9" s="14" t="n">
        <x:f>IF(C9=0,"n.a.",(D9+2*E9+3*F9+4*G9+5*H9)/C9)</x:f>
        <x:v>3.1296296296296298</x:v>
      </x:c>
      <x:c r="J9" s="14" t="n">
        <x:f>IF(C9&lt;2,"n.a.",SQRT((D9+4*E9+9*F9+16*G9+25*H9-C9*I9^2)/(C9-1)))</x:f>
        <x:v>1.0404185068649978</x:v>
      </x:c>
      <x:c r="K9" s="14" t="n">
        <x:v>3</x:v>
      </x:c>
      <x:c r="L9" s="11" t="n">
        <x:f>SUM(G9:H9)</x:f>
        <x:v>57</x:v>
      </x:c>
      <x:c r="M9" s="12" t="n">
        <x:f>IF(C9=0,"n.a.",L9/C9)</x:f>
        <x:v>0.35185185185185186</x:v>
      </x:c>
      <x:c r="N9" s="11" t="n">
        <x:f>SUM(D9:E9)</x:f>
        <x:v>36</x:v>
      </x:c>
      <x:c r="O9" s="12" t="n">
        <x:f>IF(C9=0,"n.a.",N9/C9)</x:f>
        <x:v>0.2222222222222222</x:v>
      </x:c>
      <x:c r="P9" s="12" t="n">
        <x:v>0.2825218897488158</x:v>
      </x:c>
      <x:c r="Q9" s="12" t="n">
        <x:v>0.4280450556861189</x:v>
      </x:c>
    </x:row>
    <x:row r="10" ht="30" customHeight="1">
      <x:c r="A10" s="2" t="str">
        <x:v>Q22</x:v>
      </x:c>
      <x:c r="B10" s="13" t="str">
        <x:v>D5 防风险:具备内控、审计与合规监督能力</x:v>
      </x:c>
      <x:c r="C10" s="11" t="n">
        <x:f>SUM(D10:H10)</x:f>
        <x:v>162</x:v>
      </x:c>
      <x:c r="D10" s="11" t="n">
        <x:f>'全题频数'!E254</x:f>
        <x:v>10</x:v>
      </x:c>
      <x:c r="E10" s="11" t="n">
        <x:f>'全题频数'!E255</x:f>
        <x:v>39</x:v>
      </x:c>
      <x:c r="F10" s="11" t="n">
        <x:f>'全题频数'!E256</x:f>
        <x:v>64</x:v>
      </x:c>
      <x:c r="G10" s="11" t="n">
        <x:f>'全题频数'!E257</x:f>
        <x:v>36</x:v>
      </x:c>
      <x:c r="H10" s="11" t="n">
        <x:f>'全题频数'!E258</x:f>
        <x:v>13</x:v>
      </x:c>
      <x:c r="I10" s="14" t="n">
        <x:f>IF(C10=0,"n.a.",(D10+2*E10+3*F10+4*G10+5*H10)/C10)</x:f>
        <x:v>3.0185185185185186</x:v>
      </x:c>
      <x:c r="J10" s="14" t="n">
        <x:f>IF(C10&lt;2,"n.a.",SQRT((D10+4*E10+9*F10+16*G10+25*H10-C10*I10^2)/(C10-1)))</x:f>
        <x:v>1.0182936782593144</x:v>
      </x:c>
      <x:c r="K10" s="14" t="n">
        <x:v>3</x:v>
      </x:c>
      <x:c r="L10" s="11" t="n">
        <x:f>SUM(G10:H10)</x:f>
        <x:v>49</x:v>
      </x:c>
      <x:c r="M10" s="12" t="n">
        <x:f>IF(C10=0,"n.a.",L10/C10)</x:f>
        <x:v>0.30246913580246915</x:v>
      </x:c>
      <x:c r="N10" s="11" t="n">
        <x:f>SUM(D10:E10)</x:f>
        <x:v>49</x:v>
      </x:c>
      <x:c r="O10" s="12" t="n">
        <x:f>IF(C10=0,"n.a.",N10/C10)</x:f>
        <x:v>0.30246913580246915</x:v>
      </x:c>
      <x:c r="P10" s="12" t="n">
        <x:v>0.23698755370031604</x:v>
      </x:c>
      <x:c r="Q10" s="12" t="n">
        <x:v>0.3771017068795968</x:v>
      </x:c>
    </x:row>
    <x:row r="11" ht="36" customHeight="1">
      <x:c r="A11" s="2" t="str">
        <x:v>Q24</x:v>
      </x:c>
      <x:c r="B11" s="13" t="str">
        <x:v>E1 新入职人员:夯实财务、医疗、管理、信息交叉基础，强化跟岗实训与基本制度规范</x:v>
      </x:c>
      <x:c r="C11" s="11" t="n">
        <x:f>SUM(D11:H11)</x:f>
        <x:v>162</x:v>
      </x:c>
      <x:c r="D11" s="11" t="n">
        <x:f>'全题频数'!E283</x:f>
        <x:v>5</x:v>
      </x:c>
      <x:c r="E11" s="11" t="n">
        <x:f>'全题频数'!E284</x:f>
        <x:v>4</x:v>
      </x:c>
      <x:c r="F11" s="11" t="n">
        <x:f>'全题频数'!E285</x:f>
        <x:v>13</x:v>
      </x:c>
      <x:c r="G11" s="11" t="n">
        <x:f>'全题频数'!E286</x:f>
        <x:v>29</x:v>
      </x:c>
      <x:c r="H11" s="11" t="n">
        <x:f>'全题频数'!E287</x:f>
        <x:v>111</x:v>
      </x:c>
      <x:c r="I11" s="14" t="n">
        <x:f>IF(C11=0,"n.a.",(D11+2*E11+3*F11+4*G11+5*H11)/C11)</x:f>
        <x:v>4.462962962962963</x:v>
      </x:c>
      <x:c r="J11" s="14" t="n">
        <x:f>IF(C11&lt;2,"n.a.",SQRT((D11+4*E11+9*F11+16*G11+25*H11-C11*I11^2)/(C11-1)))</x:f>
        <x:v>0.9661275000981122</x:v>
      </x:c>
      <x:c r="K11" s="14" t="n">
        <x:v>5</x:v>
      </x:c>
      <x:c r="L11" s="11" t="n">
        <x:f>SUM(G11:H11)</x:f>
        <x:v>140</x:v>
      </x:c>
      <x:c r="M11" s="12" t="n">
        <x:f>IF(C11=0,"n.a.",L11/C11)</x:f>
        <x:v>0.8641975308641975</x:v>
      </x:c>
      <x:c r="N11" s="11" t="n">
        <x:f>SUM(D11:E11)</x:f>
        <x:v>9</x:v>
      </x:c>
      <x:c r="O11" s="12" t="n">
        <x:f>IF(C11=0,"n.a.",N11/C11)</x:f>
        <x:v>0.05555555555555555</x:v>
      </x:c>
      <x:c r="P11" s="12" t="n">
        <x:v>0.8029444927922917</x:v>
      </x:c>
      <x:c r="Q11" s="12" t="n">
        <x:v>0.9085784330134938</x:v>
      </x:c>
    </x:row>
    <x:row r="12" ht="36" customHeight="1">
      <x:c r="A12" s="2" t="str">
        <x:v>Q24</x:v>
      </x:c>
      <x:c r="B12" s="13" t="str">
        <x:v>E2 业务骨干人员:围绕预算绩效、成本核算、数智运营、风控监督等专项能力系统深化</x:v>
      </x:c>
      <x:c r="C12" s="11" t="n">
        <x:f>SUM(D12:H12)</x:f>
        <x:v>162</x:v>
      </x:c>
      <x:c r="D12" s="11" t="n">
        <x:f>'全题频数'!E288</x:f>
        <x:v>4</x:v>
      </x:c>
      <x:c r="E12" s="11" t="n">
        <x:f>'全题频数'!E289</x:f>
        <x:v>1</x:v>
      </x:c>
      <x:c r="F12" s="11" t="n">
        <x:f>'全题频数'!E290</x:f>
        <x:v>12</x:v>
      </x:c>
      <x:c r="G12" s="11" t="n">
        <x:f>'全题频数'!E291</x:f>
        <x:v>26</x:v>
      </x:c>
      <x:c r="H12" s="11" t="n">
        <x:f>'全题频数'!E292</x:f>
        <x:v>119</x:v>
      </x:c>
      <x:c r="I12" s="14" t="n">
        <x:f>IF(C12=0,"n.a.",(D12+2*E12+3*F12+4*G12+5*H12)/C12)</x:f>
        <x:v>4.574074074074074</x:v>
      </x:c>
      <x:c r="J12" s="14" t="n">
        <x:f>IF(C12&lt;2,"n.a.",SQRT((D12+4*E12+9*F12+16*G12+25*H12-C12*I12^2)/(C12-1)))</x:f>
        <x:v>0.8546951478282684</x:v>
      </x:c>
      <x:c r="K12" s="14" t="n">
        <x:v>5</x:v>
      </x:c>
      <x:c r="L12" s="11" t="n">
        <x:f>SUM(G12:H12)</x:f>
        <x:v>145</x:v>
      </x:c>
      <x:c r="M12" s="12" t="n">
        <x:f>IF(C12=0,"n.a.",L12/C12)</x:f>
        <x:v>0.8950617283950617</x:v>
      </x:c>
      <x:c r="N12" s="11" t="n">
        <x:f>SUM(D12:E12)</x:f>
        <x:v>5</x:v>
      </x:c>
      <x:c r="O12" s="12" t="n">
        <x:f>IF(C12=0,"n.a.",N12/C12)</x:f>
        <x:v>0.030864197530864196</x:v>
      </x:c>
      <x:c r="P12" s="12" t="n">
        <x:v>0.8383776426456437</x:v>
      </x:c>
      <x:c r="Q12" s="12" t="n">
        <x:v>0.9334438361945305</x:v>
      </x:c>
    </x:row>
    <x:row r="13" ht="30" customHeight="1">
      <x:c r="A13" s="2" t="str">
        <x:v>Q24</x:v>
      </x:c>
      <x:c r="B13" s="13" t="str">
        <x:v>E3 中层管理人员:提升运营管理、跨部门协同与团队带教能力</x:v>
      </x:c>
      <x:c r="C13" s="11" t="n">
        <x:f>SUM(D13:H13)</x:f>
        <x:v>162</x:v>
      </x:c>
      <x:c r="D13" s="11" t="n">
        <x:f>'全题频数'!E293</x:f>
        <x:v>4</x:v>
      </x:c>
      <x:c r="E13" s="11" t="n">
        <x:f>'全题频数'!E294</x:f>
        <x:v>2</x:v>
      </x:c>
      <x:c r="F13" s="11" t="n">
        <x:f>'全题频数'!E295</x:f>
        <x:v>11</x:v>
      </x:c>
      <x:c r="G13" s="11" t="n">
        <x:f>'全题频数'!E296</x:f>
        <x:v>25</x:v>
      </x:c>
      <x:c r="H13" s="11" t="n">
        <x:f>'全题频数'!E297</x:f>
        <x:v>120</x:v>
      </x:c>
      <x:c r="I13" s="14" t="n">
        <x:f>IF(C13=0,"n.a.",(D13+2*E13+3*F13+4*G13+5*H13)/C13)</x:f>
        <x:v>4.574074074074074</x:v>
      </x:c>
      <x:c r="J13" s="14" t="n">
        <x:f>IF(C13&lt;2,"n.a.",SQRT((D13+4*E13+9*F13+16*G13+25*H13-C13*I13^2)/(C13-1)))</x:f>
        <x:v>0.8691078852582571</x:v>
      </x:c>
      <x:c r="K13" s="14" t="n">
        <x:v>5</x:v>
      </x:c>
      <x:c r="L13" s="11" t="n">
        <x:f>SUM(G13:H13)</x:f>
        <x:v>145</x:v>
      </x:c>
      <x:c r="M13" s="12" t="n">
        <x:f>IF(C13=0,"n.a.",L13/C13)</x:f>
        <x:v>0.8950617283950617</x:v>
      </x:c>
      <x:c r="N13" s="11" t="n">
        <x:f>SUM(D13:E13)</x:f>
        <x:v>6</x:v>
      </x:c>
      <x:c r="O13" s="12" t="n">
        <x:f>IF(C13=0,"n.a.",N13/C13)</x:f>
        <x:v>0.037037037037037035</x:v>
      </x:c>
      <x:c r="P13" s="12" t="n">
        <x:v>0.8383776426456437</x:v>
      </x:c>
      <x:c r="Q13" s="12" t="n">
        <x:v>0.9334438361945305</x:v>
      </x:c>
    </x:row>
    <x:row r="14" ht="36" customHeight="1">
      <x:c r="A14" s="2" t="str">
        <x:v>Q24</x:v>
      </x:c>
      <x:c r="B14" s="13" t="str">
        <x:v>E4 领军人才（总会计师及院领导）:提升战略思维、行业引领与穿透式监管能力</x:v>
      </x:c>
      <x:c r="C14" s="11" t="n">
        <x:f>SUM(D14:H14)</x:f>
        <x:v>162</x:v>
      </x:c>
      <x:c r="D14" s="11" t="n">
        <x:f>'全题频数'!E298</x:f>
        <x:v>5</x:v>
      </x:c>
      <x:c r="E14" s="11" t="n">
        <x:f>'全题频数'!E299</x:f>
        <x:v>1</x:v>
      </x:c>
      <x:c r="F14" s="11" t="n">
        <x:f>'全题频数'!E300</x:f>
        <x:v>8</x:v>
      </x:c>
      <x:c r="G14" s="11" t="n">
        <x:f>'全题频数'!E301</x:f>
        <x:v>25</x:v>
      </x:c>
      <x:c r="H14" s="11" t="n">
        <x:f>'全题频数'!E302</x:f>
        <x:v>123</x:v>
      </x:c>
      <x:c r="I14" s="14" t="n">
        <x:f>IF(C14=0,"n.a.",(D14+2*E14+3*F14+4*G14+5*H14)/C14)</x:f>
        <x:v>4.604938271604938</x:v>
      </x:c>
      <x:c r="J14" s="14" t="n">
        <x:f>IF(C14&lt;2,"n.a.",SQRT((D14+4*E14+9*F14+16*G14+25*H14-C14*I14^2)/(C14-1)))</x:f>
        <x:v>0.8659036474116044</x:v>
      </x:c>
      <x:c r="K14" s="14" t="n">
        <x:v>5</x:v>
      </x:c>
      <x:c r="L14" s="11" t="n">
        <x:f>SUM(G14:H14)</x:f>
        <x:v>148</x:v>
      </x:c>
      <x:c r="M14" s="12" t="n">
        <x:f>IF(C14=0,"n.a.",L14/C14)</x:f>
        <x:v>0.9135802469135802</x:v>
      </x:c>
      <x:c r="N14" s="11" t="n">
        <x:f>SUM(D14:E14)</x:f>
        <x:v>6</x:v>
      </x:c>
      <x:c r="O14" s="12" t="n">
        <x:f>IF(C14=0,"n.a.",N14/C14)</x:f>
        <x:v>0.037037037037037035</x:v>
      </x:c>
      <x:c r="P14" s="12" t="n">
        <x:v>0.8601761009899326</x:v>
      </x:c>
      <x:c r="Q14" s="12" t="n">
        <x:v>0.9478245096708747</x:v>
      </x:c>
    </x:row>
    <x:row r="15" ht="30" customHeight="1">
      <x:c r="A15" s="2" t="str">
        <x:v>Q26</x:v>
      </x:c>
      <x:c r="B15" s="13" t="str">
        <x:v>F1 战略管理与领导力</x:v>
      </x:c>
      <x:c r="C15" s="11" t="n">
        <x:f>SUM(D15:H15)</x:f>
        <x:v>162</x:v>
      </x:c>
      <x:c r="D15" s="11" t="n">
        <x:f>'全题频数'!E335</x:f>
        <x:v>0</x:v>
      </x:c>
      <x:c r="E15" s="11" t="n">
        <x:f>'全题频数'!E336</x:f>
        <x:v>5</x:v>
      </x:c>
      <x:c r="F15" s="11" t="n">
        <x:f>'全题频数'!E337</x:f>
        <x:v>26</x:v>
      </x:c>
      <x:c r="G15" s="11" t="n">
        <x:f>'全题频数'!E338</x:f>
        <x:v>49</x:v>
      </x:c>
      <x:c r="H15" s="11" t="n">
        <x:f>'全题频数'!E339</x:f>
        <x:v>82</x:v>
      </x:c>
      <x:c r="I15" s="14" t="n">
        <x:f>IF(C15=0,"n.a.",(D15+2*E15+3*F15+4*G15+5*H15)/C15)</x:f>
        <x:v>4.283950617283951</x:v>
      </x:c>
      <x:c r="J15" s="14" t="n">
        <x:f>IF(C15&lt;2,"n.a.",SQRT((D15+4*E15+9*F15+16*G15+25*H15-C15*I15^2)/(C15-1)))</x:f>
        <x:v>0.8449273981267283</x:v>
      </x:c>
      <x:c r="K15" s="14" t="n">
        <x:v>5</x:v>
      </x:c>
      <x:c r="L15" s="11" t="n">
        <x:f>SUM(G15:H15)</x:f>
        <x:v>131</x:v>
      </x:c>
      <x:c r="M15" s="12" t="n">
        <x:f>IF(C15=0,"n.a.",L15/C15)</x:f>
        <x:v>0.808641975308642</x:v>
      </x:c>
      <x:c r="N15" s="11" t="n">
        <x:f>SUM(D15:E15)</x:f>
        <x:v>5</x:v>
      </x:c>
      <x:c r="O15" s="12" t="n">
        <x:f>IF(C15=0,"n.a.",N15/C15)</x:f>
        <x:v>0.030864197530864196</x:v>
      </x:c>
      <x:c r="P15" s="12" t="n">
        <x:v>0.7411982788749567</x:v>
      </x:c>
      <x:c r="Q15" s="12" t="n">
        <x:v>0.8617872514689295</x:v>
      </x:c>
    </x:row>
    <x:row r="16" ht="30" customHeight="1">
      <x:c r="A16" s="2" t="str">
        <x:v>Q26</x:v>
      </x:c>
      <x:c r="B16" s="13" t="str">
        <x:v>F2 卫生政策与财经法规</x:v>
      </x:c>
      <x:c r="C16" s="11" t="n">
        <x:f>SUM(D16:H16)</x:f>
        <x:v>162</x:v>
      </x:c>
      <x:c r="D16" s="11" t="n">
        <x:f>'全题频数'!E340</x:f>
        <x:v>0</x:v>
      </x:c>
      <x:c r="E16" s="11" t="n">
        <x:f>'全题频数'!E341</x:f>
        <x:v>2</x:v>
      </x:c>
      <x:c r="F16" s="11" t="n">
        <x:f>'全题频数'!E342</x:f>
        <x:v>13</x:v>
      </x:c>
      <x:c r="G16" s="11" t="n">
        <x:f>'全题频数'!E343</x:f>
        <x:v>41</x:v>
      </x:c>
      <x:c r="H16" s="11" t="n">
        <x:f>'全题频数'!E344</x:f>
        <x:v>106</x:v>
      </x:c>
      <x:c r="I16" s="14" t="n">
        <x:f>IF(C16=0,"n.a.",(D16+2*E16+3*F16+4*G16+5*H16)/C16)</x:f>
        <x:v>4.549382716049383</x:v>
      </x:c>
      <x:c r="J16" s="14" t="n">
        <x:f>IF(C16&lt;2,"n.a.",SQRT((D16+4*E16+9*F16+16*G16+25*H16-C16*I16^2)/(C16-1)))</x:f>
        <x:v>0.6965083202635142</x:v>
      </x:c>
      <x:c r="K16" s="14" t="n">
        <x:v>5</x:v>
      </x:c>
      <x:c r="L16" s="11" t="n">
        <x:f>SUM(G16:H16)</x:f>
        <x:v>147</x:v>
      </x:c>
      <x:c r="M16" s="12" t="n">
        <x:f>IF(C16=0,"n.a.",L16/C16)</x:f>
        <x:v>0.9074074074074074</x:v>
      </x:c>
      <x:c r="N16" s="11" t="n">
        <x:f>SUM(D16:E16)</x:f>
        <x:v>2</x:v>
      </x:c>
      <x:c r="O16" s="12" t="n">
        <x:f>IF(C16=0,"n.a.",N16/C16)</x:f>
        <x:v>0.012345679012345678</x:v>
      </x:c>
      <x:c r="P16" s="12" t="n">
        <x:v>0.8528569261660858</x:v>
      </x:c>
      <x:c r="Q16" s="12" t="n">
        <x:v>0.9430839738878439</x:v>
      </x:c>
    </x:row>
    <x:row r="17" ht="30" customHeight="1">
      <x:c r="A17" s="2" t="str">
        <x:v>Q26</x:v>
      </x:c>
      <x:c r="B17" s="13" t="str">
        <x:v>F3 医疗业务流程与临床认知</x:v>
      </x:c>
      <x:c r="C17" s="11" t="n">
        <x:f>SUM(D17:H17)</x:f>
        <x:v>162</x:v>
      </x:c>
      <x:c r="D17" s="11" t="n">
        <x:f>'全题频数'!E345</x:f>
        <x:v>0</x:v>
      </x:c>
      <x:c r="E17" s="11" t="n">
        <x:f>'全题频数'!E346</x:f>
        <x:v>1</x:v>
      </x:c>
      <x:c r="F17" s="11" t="n">
        <x:f>'全题频数'!E347</x:f>
        <x:v>11</x:v>
      </x:c>
      <x:c r="G17" s="11" t="n">
        <x:f>'全题频数'!E348</x:f>
        <x:v>49</x:v>
      </x:c>
      <x:c r="H17" s="11" t="n">
        <x:f>'全题频数'!E349</x:f>
        <x:v>101</x:v>
      </x:c>
      <x:c r="I17" s="14" t="n">
        <x:f>IF(C17=0,"n.a.",(D17+2*E17+3*F17+4*G17+5*H17)/C17)</x:f>
        <x:v>4.54320987654321</x:v>
      </x:c>
      <x:c r="J17" s="14" t="n">
        <x:f>IF(C17&lt;2,"n.a.",SQRT((D17+4*E17+9*F17+16*G17+25*H17-C17*I17^2)/(C17-1)))</x:f>
        <x:v>0.6508357305993813</x:v>
      </x:c>
      <x:c r="K17" s="14" t="n">
        <x:v>5</x:v>
      </x:c>
      <x:c r="L17" s="11" t="n">
        <x:f>SUM(G17:H17)</x:f>
        <x:v>150</x:v>
      </x:c>
      <x:c r="M17" s="12" t="n">
        <x:f>IF(C17=0,"n.a.",L17/C17)</x:f>
        <x:v>0.9259259259259259</x:v>
      </x:c>
      <x:c r="N17" s="11" t="n">
        <x:f>SUM(D17:E17)</x:f>
        <x:v>1</x:v>
      </x:c>
      <x:c r="O17" s="12" t="n">
        <x:f>IF(C17=0,"n.a.",N17/C17)</x:f>
        <x:v>0.006172839506172839</x:v>
      </x:c>
      <x:c r="P17" s="12" t="n">
        <x:v>0.8749984823125505</x:v>
      </x:c>
      <x:c r="Q17" s="12" t="n">
        <x:v>0.9571215495620122</x:v>
      </x:c>
    </x:row>
    <x:row r="18" ht="30" customHeight="1">
      <x:c r="A18" s="2" t="str">
        <x:v>Q26</x:v>
      </x:c>
      <x:c r="B18" s="13" t="str">
        <x:v>F4 跨部门沟通与协同管理</x:v>
      </x:c>
      <x:c r="C18" s="11" t="n">
        <x:f>SUM(D18:H18)</x:f>
        <x:v>162</x:v>
      </x:c>
      <x:c r="D18" s="11" t="n">
        <x:f>'全题频数'!E350</x:f>
        <x:v>0</x:v>
      </x:c>
      <x:c r="E18" s="11" t="n">
        <x:f>'全题频数'!E351</x:f>
        <x:v>0</x:v>
      </x:c>
      <x:c r="F18" s="11" t="n">
        <x:f>'全题频数'!E352</x:f>
        <x:v>10</x:v>
      </x:c>
      <x:c r="G18" s="11" t="n">
        <x:f>'全题频数'!E353</x:f>
        <x:v>42</x:v>
      </x:c>
      <x:c r="H18" s="11" t="n">
        <x:f>'全题频数'!E354</x:f>
        <x:v>110</x:v>
      </x:c>
      <x:c r="I18" s="14" t="n">
        <x:f>IF(C18=0,"n.a.",(D18+2*E18+3*F18+4*G18+5*H18)/C18)</x:f>
        <x:v>4.617283950617284</x:v>
      </x:c>
      <x:c r="J18" s="14" t="n">
        <x:f>IF(C18&lt;2,"n.a.",SQRT((D18+4*E18+9*F18+16*G18+25*H18-C18*I18^2)/(C18-1)))</x:f>
        <x:v>0.6016107000371582</x:v>
      </x:c>
      <x:c r="K18" s="14" t="n">
        <x:v>5</x:v>
      </x:c>
      <x:c r="L18" s="11" t="n">
        <x:f>SUM(G18:H18)</x:f>
        <x:v>152</x:v>
      </x:c>
      <x:c r="M18" s="12" t="n">
        <x:f>IF(C18=0,"n.a.",L18/C18)</x:f>
        <x:v>0.9382716049382716</x:v>
      </x:c>
      <x:c r="N18" s="11" t="n">
        <x:f>SUM(D18:E18)</x:f>
        <x:v>0</x:v>
      </x:c>
      <x:c r="O18" s="12" t="n">
        <x:f>IF(C18=0,"n.a.",N18/C18)</x:f>
        <x:v>0</x:v>
      </x:c>
      <x:c r="P18" s="12" t="n">
        <x:v>0.8901112957855875</x:v>
      </x:c>
      <x:c r="Q18" s="12" t="n">
        <x:v>0.9661281573027307</x:v>
      </x:c>
    </x:row>
    <x:row r="19" ht="30" customHeight="1">
      <x:c r="A19" s="2" t="str">
        <x:v>Q26</x:v>
      </x:c>
      <x:c r="B19" s="13" t="str">
        <x:v>F5 DRG/DIP与医保精细化管理</x:v>
      </x:c>
      <x:c r="C19" s="11" t="n">
        <x:f>SUM(D19:H19)</x:f>
        <x:v>162</x:v>
      </x:c>
      <x:c r="D19" s="11" t="n">
        <x:f>'全题频数'!E355</x:f>
        <x:v>0</x:v>
      </x:c>
      <x:c r="E19" s="11" t="n">
        <x:f>'全题频数'!E356</x:f>
        <x:v>1</x:v>
      </x:c>
      <x:c r="F19" s="11" t="n">
        <x:f>'全题频数'!E357</x:f>
        <x:v>12</x:v>
      </x:c>
      <x:c r="G19" s="11" t="n">
        <x:f>'全题频数'!E358</x:f>
        <x:v>44</x:v>
      </x:c>
      <x:c r="H19" s="11" t="n">
        <x:f>'全题频数'!E359</x:f>
        <x:v>105</x:v>
      </x:c>
      <x:c r="I19" s="14" t="n">
        <x:f>IF(C19=0,"n.a.",(D19+2*E19+3*F19+4*G19+5*H19)/C19)</x:f>
        <x:v>4.561728395061729</x:v>
      </x:c>
      <x:c r="J19" s="14" t="n">
        <x:f>IF(C19&lt;2,"n.a.",SQRT((D19+4*E19+9*F19+16*G19+25*H19-C19*I19^2)/(C19-1)))</x:f>
        <x:v>0.6588278507718736</x:v>
      </x:c>
      <x:c r="K19" s="14" t="n">
        <x:v>5</x:v>
      </x:c>
      <x:c r="L19" s="11" t="n">
        <x:f>SUM(G19:H19)</x:f>
        <x:v>149</x:v>
      </x:c>
      <x:c r="M19" s="12" t="n">
        <x:f>IF(C19=0,"n.a.",L19/C19)</x:f>
        <x:v>0.9197530864197531</x:v>
      </x:c>
      <x:c r="N19" s="11" t="n">
        <x:f>SUM(D19:E19)</x:f>
        <x:v>1</x:v>
      </x:c>
      <x:c r="O19" s="12" t="n">
        <x:f>IF(C19=0,"n.a.",N19/C19)</x:f>
        <x:v>0.006172839506172839</x:v>
      </x:c>
      <x:c r="P19" s="12" t="n">
        <x:v>0.8675546690075141</x:v>
      </x:c>
      <x:c r="Q19" s="12" t="n">
        <x:v>0.952505652260171</x:v>
      </x:c>
    </x:row>
    <x:row r="20" ht="30" customHeight="1">
      <x:c r="A20" s="2" t="str">
        <x:v>Q26</x:v>
      </x:c>
      <x:c r="B20" s="13" t="str">
        <x:v>F6 预算管理与绩效评价</x:v>
      </x:c>
      <x:c r="C20" s="11" t="n">
        <x:f>SUM(D20:H20)</x:f>
        <x:v>162</x:v>
      </x:c>
      <x:c r="D20" s="11" t="n">
        <x:f>'全题频数'!E360</x:f>
        <x:v>0</x:v>
      </x:c>
      <x:c r="E20" s="11" t="n">
        <x:f>'全题频数'!E361</x:f>
        <x:v>2</x:v>
      </x:c>
      <x:c r="F20" s="11" t="n">
        <x:f>'全题频数'!E362</x:f>
        <x:v>9</x:v>
      </x:c>
      <x:c r="G20" s="11" t="n">
        <x:f>'全题频数'!E363</x:f>
        <x:v>44</x:v>
      </x:c>
      <x:c r="H20" s="11" t="n">
        <x:f>'全题频数'!E364</x:f>
        <x:v>107</x:v>
      </x:c>
      <x:c r="I20" s="14" t="n">
        <x:f>IF(C20=0,"n.a.",(D20+2*E20+3*F20+4*G20+5*H20)/C20)</x:f>
        <x:v>4.580246913580247</x:v>
      </x:c>
      <x:c r="J20" s="14" t="n">
        <x:f>IF(C20&lt;2,"n.a.",SQRT((D20+4*E20+9*F20+16*G20+25*H20-C20*I20^2)/(C20-1)))</x:f>
        <x:v>0.656817047820156</x:v>
      </x:c>
      <x:c r="K20" s="14" t="n">
        <x:v>5</x:v>
      </x:c>
      <x:c r="L20" s="11" t="n">
        <x:f>SUM(G20:H20)</x:f>
        <x:v>151</x:v>
      </x:c>
      <x:c r="M20" s="12" t="n">
        <x:f>IF(C20=0,"n.a.",L20/C20)</x:f>
        <x:v>0.9320987654320988</x:v>
      </x:c>
      <x:c r="N20" s="11" t="n">
        <x:f>SUM(D20:E20)</x:f>
        <x:v>2</x:v>
      </x:c>
      <x:c r="O20" s="12" t="n">
        <x:f>IF(C20=0,"n.a.",N20/C20)</x:f>
        <x:v>0.012345679012345678</x:v>
      </x:c>
      <x:c r="P20" s="12" t="n">
        <x:v>0.8825145335892841</x:v>
      </x:c>
      <x:c r="Q20" s="12" t="n">
        <x:v>0.9616652088921565</x:v>
      </x:c>
    </x:row>
    <x:row r="21" ht="30" customHeight="1">
      <x:c r="A21" s="2" t="str">
        <x:v>Q26</x:v>
      </x:c>
      <x:c r="B21" s="13" t="str">
        <x:v>F7 成本核算与运营分析</x:v>
      </x:c>
      <x:c r="C21" s="11" t="n">
        <x:f>SUM(D21:H21)</x:f>
        <x:v>162</x:v>
      </x:c>
      <x:c r="D21" s="11" t="n">
        <x:f>'全题频数'!E365</x:f>
        <x:v>0</x:v>
      </x:c>
      <x:c r="E21" s="11" t="n">
        <x:f>'全题频数'!E366</x:f>
        <x:v>1</x:v>
      </x:c>
      <x:c r="F21" s="11" t="n">
        <x:f>'全题频数'!E367</x:f>
        <x:v>5</x:v>
      </x:c>
      <x:c r="G21" s="11" t="n">
        <x:f>'全题频数'!E368</x:f>
        <x:v>45</x:v>
      </x:c>
      <x:c r="H21" s="11" t="n">
        <x:f>'全题频数'!E369</x:f>
        <x:v>111</x:v>
      </x:c>
      <x:c r="I21" s="14" t="n">
        <x:f>IF(C21=0,"n.a.",(D21+2*E21+3*F21+4*G21+5*H21)/C21)</x:f>
        <x:v>4.6419753086419755</x:v>
      </x:c>
      <x:c r="J21" s="14" t="n">
        <x:f>IF(C21&lt;2,"n.a.",SQRT((D21+4*E21+9*F21+16*G21+25*H21-C21*I21^2)/(C21-1)))</x:f>
        <x:v>0.5750212953185104</x:v>
      </x:c>
      <x:c r="K21" s="14" t="n">
        <x:v>5</x:v>
      </x:c>
      <x:c r="L21" s="11" t="n">
        <x:f>SUM(G21:H21)</x:f>
        <x:v>156</x:v>
      </x:c>
      <x:c r="M21" s="12" t="n">
        <x:f>IF(C21=0,"n.a.",L21/C21)</x:f>
        <x:v>0.9629629629629629</x:v>
      </x:c>
      <x:c r="N21" s="11" t="n">
        <x:f>SUM(D21:E21)</x:f>
        <x:v>1</x:v>
      </x:c>
      <x:c r="O21" s="12" t="n">
        <x:f>IF(C21=0,"n.a.",N21/C21)</x:f>
        <x:v>0.006172839506172839</x:v>
      </x:c>
      <x:c r="P21" s="12" t="n">
        <x:v>0.9215612866577387</x:v>
      </x:c>
      <x:c r="Q21" s="12" t="n">
        <x:v>0.9829170088580903</x:v>
      </x:c>
    </x:row>
    <x:row r="22" ht="30" customHeight="1">
      <x:c r="A22" s="2" t="str">
        <x:v>Q26</x:v>
      </x:c>
      <x:c r="B22" s="13" t="str">
        <x:v>F8 数智化运营与数据分析</x:v>
      </x:c>
      <x:c r="C22" s="11" t="n">
        <x:f>SUM(D22:H22)</x:f>
        <x:v>162</x:v>
      </x:c>
      <x:c r="D22" s="11" t="n">
        <x:f>'全题频数'!E370</x:f>
        <x:v>0</x:v>
      </x:c>
      <x:c r="E22" s="11" t="n">
        <x:f>'全题频数'!E371</x:f>
        <x:v>0</x:v>
      </x:c>
      <x:c r="F22" s="11" t="n">
        <x:f>'全题频数'!E372</x:f>
        <x:v>6</x:v>
      </x:c>
      <x:c r="G22" s="11" t="n">
        <x:f>'全题频数'!E373</x:f>
        <x:v>37</x:v>
      </x:c>
      <x:c r="H22" s="11" t="n">
        <x:f>'全题频数'!E374</x:f>
        <x:v>119</x:v>
      </x:c>
      <x:c r="I22" s="14" t="n">
        <x:f>IF(C22=0,"n.a.",(D22+2*E22+3*F22+4*G22+5*H22)/C22)</x:f>
        <x:v>4.697530864197531</x:v>
      </x:c>
      <x:c r="J22" s="14" t="n">
        <x:f>IF(C22&lt;2,"n.a.",SQRT((D22+4*E22+9*F22+16*G22+25*H22-C22*I22^2)/(C22-1)))</x:f>
        <x:v>0.5355615404766829</x:v>
      </x:c>
      <x:c r="K22" s="14" t="n">
        <x:v>5</x:v>
      </x:c>
      <x:c r="L22" s="11" t="n">
        <x:f>SUM(G22:H22)</x:f>
        <x:v>156</x:v>
      </x:c>
      <x:c r="M22" s="12" t="n">
        <x:f>IF(C22=0,"n.a.",L22/C22)</x:f>
        <x:v>0.9629629629629629</x:v>
      </x:c>
      <x:c r="N22" s="11" t="n">
        <x:f>SUM(D22:E22)</x:f>
        <x:v>0</x:v>
      </x:c>
      <x:c r="O22" s="12" t="n">
        <x:f>IF(C22=0,"n.a.",N22/C22)</x:f>
        <x:v>0</x:v>
      </x:c>
      <x:c r="P22" s="12" t="n">
        <x:v>0.9215612866577387</x:v>
      </x:c>
      <x:c r="Q22" s="12" t="n">
        <x:v>0.9829170088580903</x:v>
      </x:c>
    </x:row>
    <x:row r="23" ht="30" customHeight="1">
      <x:c r="A23" s="2" t="str">
        <x:v>Q26</x:v>
      </x:c>
      <x:c r="B23" s="13" t="str">
        <x:v>F9 内部控制、审计与风险防控</x:v>
      </x:c>
      <x:c r="C23" s="11" t="n">
        <x:f>SUM(D23:H23)</x:f>
        <x:v>162</x:v>
      </x:c>
      <x:c r="D23" s="11" t="n">
        <x:f>'全题频数'!E375</x:f>
        <x:v>0</x:v>
      </x:c>
      <x:c r="E23" s="11" t="n">
        <x:f>'全题频数'!E376</x:f>
        <x:v>1</x:v>
      </x:c>
      <x:c r="F23" s="11" t="n">
        <x:f>'全题频数'!E377</x:f>
        <x:v>17</x:v>
      </x:c>
      <x:c r="G23" s="11" t="n">
        <x:f>'全题频数'!E378</x:f>
        <x:v>38</x:v>
      </x:c>
      <x:c r="H23" s="11" t="n">
        <x:f>'全题频数'!E379</x:f>
        <x:v>106</x:v>
      </x:c>
      <x:c r="I23" s="14" t="n">
        <x:f>IF(C23=0,"n.a.",(D23+2*E23+3*F23+4*G23+5*H23)/C23)</x:f>
        <x:v>4.537037037037037</x:v>
      </x:c>
      <x:c r="J23" s="14" t="n">
        <x:f>IF(C23&lt;2,"n.a.",SQRT((D23+4*E23+9*F23+16*G23+25*H23-C23*I23^2)/(C23-1)))</x:f>
        <x:v>0.7061301138955696</x:v>
      </x:c>
      <x:c r="K23" s="14" t="n">
        <x:v>5</x:v>
      </x:c>
      <x:c r="L23" s="11" t="n">
        <x:f>SUM(G23:H23)</x:f>
        <x:v>144</x:v>
      </x:c>
      <x:c r="M23" s="12" t="n">
        <x:f>IF(C23=0,"n.a.",L23/C23)</x:f>
        <x:v>0.8888888888888888</x:v>
      </x:c>
      <x:c r="N23" s="11" t="n">
        <x:f>SUM(D23:E23)</x:f>
        <x:v>1</x:v>
      </x:c>
      <x:c r="O23" s="12" t="n">
        <x:f>IF(C23=0,"n.a.",N23/C23)</x:f>
        <x:v>0.006172839506172839</x:v>
      </x:c>
      <x:c r="P23" s="12" t="n">
        <x:v>0.8312096257219821</x:v>
      </x:c>
      <x:c r="Q23" s="12" t="n">
        <x:v>0.9285521425113143</x:v>
      </x:c>
    </x:row>
    <x:row r="24" ht="30" customHeight="1">
      <x:c r="A24" s="2" t="str">
        <x:v>Q26</x:v>
      </x:c>
      <x:c r="B24" s="13" t="str">
        <x:v>F10 科教管理与成果转化</x:v>
      </x:c>
      <x:c r="C24" s="11" t="n">
        <x:f>SUM(D24:H24)</x:f>
        <x:v>162</x:v>
      </x:c>
      <x:c r="D24" s="11" t="n">
        <x:f>'全题频数'!E380</x:f>
        <x:v>1</x:v>
      </x:c>
      <x:c r="E24" s="11" t="n">
        <x:f>'全题频数'!E381</x:f>
        <x:v>10</x:v>
      </x:c>
      <x:c r="F24" s="11" t="n">
        <x:f>'全题频数'!E382</x:f>
        <x:v>37</x:v>
      </x:c>
      <x:c r="G24" s="11" t="n">
        <x:f>'全题频数'!E383</x:f>
        <x:v>54</x:v>
      </x:c>
      <x:c r="H24" s="11" t="n">
        <x:f>'全题频数'!E384</x:f>
        <x:v>60</x:v>
      </x:c>
      <x:c r="I24" s="14" t="n">
        <x:f>IF(C24=0,"n.a.",(D24+2*E24+3*F24+4*G24+5*H24)/C24)</x:f>
        <x:v>4</x:v>
      </x:c>
      <x:c r="J24" s="14" t="n">
        <x:f>IF(C24&lt;2,"n.a.",SQRT((D24+4*E24+9*F24+16*G24+25*H24-C24*I24^2)/(C24-1)))</x:f>
        <x:v>0.9522774270855348</x:v>
      </x:c>
      <x:c r="K24" s="14" t="n">
        <x:v>4</x:v>
      </x:c>
      <x:c r="L24" s="11" t="n">
        <x:f>SUM(G24:H24)</x:f>
        <x:v>114</x:v>
      </x:c>
      <x:c r="M24" s="12" t="n">
        <x:f>IF(C24=0,"n.a.",L24/C24)</x:f>
        <x:v>0.7037037037037037</x:v>
      </x:c>
      <x:c r="N24" s="11" t="n">
        <x:f>SUM(D24:E24)</x:f>
        <x:v>11</x:v>
      </x:c>
      <x:c r="O24" s="12" t="n">
        <x:f>IF(C24=0,"n.a.",N24/C24)</x:f>
        <x:v>0.06790123456790123</x:v>
      </x:c>
      <x:c r="P24" s="12" t="n">
        <x:v>0.62932926570754</x:v>
      </x:c>
      <x:c r="Q24" s="12" t="n">
        <x:v>0.768641184319425</x:v>
      </x:c>
    </x:row>
    <x:row r="25" ht="30" customHeight="1">
      <x:c r="A25" s="2" t="str">
        <x:v>Q27</x:v>
      </x:c>
      <x:c r="B25" s="13" t="str">
        <x:v>G1 案例库与教学案例开发</x:v>
      </x:c>
      <x:c r="C25" s="11" t="n">
        <x:f>SUM(D25:H25)</x:f>
        <x:v>162</x:v>
      </x:c>
      <x:c r="D25" s="11" t="n">
        <x:f>'全题频数'!E385</x:f>
        <x:v>1</x:v>
      </x:c>
      <x:c r="E25" s="11" t="n">
        <x:f>'全题频数'!E386</x:f>
        <x:v>3</x:v>
      </x:c>
      <x:c r="F25" s="11" t="n">
        <x:f>'全题频数'!E387</x:f>
        <x:v>18</x:v>
      </x:c>
      <x:c r="G25" s="11" t="n">
        <x:f>'全题频数'!E388</x:f>
        <x:v>53</x:v>
      </x:c>
      <x:c r="H25" s="11" t="n">
        <x:f>'全题频数'!E389</x:f>
        <x:v>87</x:v>
      </x:c>
      <x:c r="I25" s="14" t="n">
        <x:f>IF(C25=0,"n.a.",(D25+2*E25+3*F25+4*G25+5*H25)/C25)</x:f>
        <x:v>4.37037037037037</x:v>
      </x:c>
      <x:c r="J25" s="14" t="n">
        <x:f>IF(C25&lt;2,"n.a.",SQRT((D25+4*E25+9*F25+16*G25+25*H25-C25*I25^2)/(C25-1)))</x:f>
        <x:v>0.8028589357224765</x:v>
      </x:c>
      <x:c r="K25" s="14" t="n">
        <x:v>5</x:v>
      </x:c>
      <x:c r="L25" s="11" t="n">
        <x:f>SUM(G25:H25)</x:f>
        <x:v>140</x:v>
      </x:c>
      <x:c r="M25" s="12" t="n">
        <x:f>IF(C25=0,"n.a.",L25/C25)</x:f>
        <x:v>0.8641975308641975</x:v>
      </x:c>
      <x:c r="N25" s="11" t="n">
        <x:f>SUM(D25:E25)</x:f>
        <x:v>4</x:v>
      </x:c>
      <x:c r="O25" s="12" t="n">
        <x:f>IF(C25=0,"n.a.",N25/C25)</x:f>
        <x:v>0.024691358024691357</x:v>
      </x:c>
      <x:c r="P25" s="12" t="n">
        <x:v>0.8029444927922917</x:v>
      </x:c>
      <x:c r="Q25" s="12" t="n">
        <x:v>0.9085784330134938</x:v>
      </x:c>
    </x:row>
    <x:row r="26" ht="30" customHeight="1">
      <x:c r="A26" s="2" t="str">
        <x:v>Q27</x:v>
      </x:c>
      <x:c r="B26" s="13" t="str">
        <x:v>G2 实训基地（实训医院）</x:v>
      </x:c>
      <x:c r="C26" s="11" t="n">
        <x:f>SUM(D26:H26)</x:f>
        <x:v>162</x:v>
      </x:c>
      <x:c r="D26" s="11" t="n">
        <x:f>'全题频数'!E390</x:f>
        <x:v>0</x:v>
      </x:c>
      <x:c r="E26" s="11" t="n">
        <x:f>'全题频数'!E391</x:f>
        <x:v>1</x:v>
      </x:c>
      <x:c r="F26" s="11" t="n">
        <x:f>'全题频数'!E392</x:f>
        <x:v>14</x:v>
      </x:c>
      <x:c r="G26" s="11" t="n">
        <x:f>'全题频数'!E393</x:f>
        <x:v>47</x:v>
      </x:c>
      <x:c r="H26" s="11" t="n">
        <x:f>'全题频数'!E394</x:f>
        <x:v>100</x:v>
      </x:c>
      <x:c r="I26" s="14" t="n">
        <x:f>IF(C26=0,"n.a.",(D26+2*E26+3*F26+4*G26+5*H26)/C26)</x:f>
        <x:v>4.518518518518518</x:v>
      </x:c>
      <x:c r="J26" s="14" t="n">
        <x:f>IF(C26&lt;2,"n.a.",SQRT((D26+4*E26+9*F26+16*G26+25*H26-C26*I26^2)/(C26-1)))</x:f>
        <x:v>0.679991068832675</x:v>
      </x:c>
      <x:c r="K26" s="14" t="n">
        <x:v>5</x:v>
      </x:c>
      <x:c r="L26" s="11" t="n">
        <x:f>SUM(G26:H26)</x:f>
        <x:v>147</x:v>
      </x:c>
      <x:c r="M26" s="12" t="n">
        <x:f>IF(C26=0,"n.a.",L26/C26)</x:f>
        <x:v>0.9074074074074074</x:v>
      </x:c>
      <x:c r="N26" s="11" t="n">
        <x:f>SUM(D26:E26)</x:f>
        <x:v>1</x:v>
      </x:c>
      <x:c r="O26" s="12" t="n">
        <x:f>IF(C26=0,"n.a.",N26/C26)</x:f>
        <x:v>0.006172839506172839</x:v>
      </x:c>
      <x:c r="P26" s="12" t="n">
        <x:v>0.8528569261660858</x:v>
      </x:c>
      <x:c r="Q26" s="12" t="n">
        <x:v>0.9430839738878439</x:v>
      </x:c>
    </x:row>
    <x:row r="27" ht="30" customHeight="1">
      <x:c r="A27" s="2" t="str">
        <x:v>Q27</x:v>
      </x:c>
      <x:c r="B27" s="13" t="str">
        <x:v>G3 线上学习平台与移动微课堂</x:v>
      </x:c>
      <x:c r="C27" s="11" t="n">
        <x:f>SUM(D27:H27)</x:f>
        <x:v>162</x:v>
      </x:c>
      <x:c r="D27" s="11" t="n">
        <x:f>'全题频数'!E395</x:f>
        <x:v>3</x:v>
      </x:c>
      <x:c r="E27" s="11" t="n">
        <x:f>'全题频数'!E396</x:f>
        <x:v>13</x:v>
      </x:c>
      <x:c r="F27" s="11" t="n">
        <x:f>'全题频数'!E397</x:f>
        <x:v>44</x:v>
      </x:c>
      <x:c r="G27" s="11" t="n">
        <x:f>'全题频数'!E398</x:f>
        <x:v>55</x:v>
      </x:c>
      <x:c r="H27" s="11" t="n">
        <x:f>'全题频数'!E399</x:f>
        <x:v>47</x:v>
      </x:c>
      <x:c r="I27" s="14" t="n">
        <x:f>IF(C27=0,"n.a.",(D27+2*E27+3*F27+4*G27+5*H27)/C27)</x:f>
        <x:v>3.802469135802469</x:v>
      </x:c>
      <x:c r="J27" s="14" t="n">
        <x:f>IF(C27&lt;2,"n.a.",SQRT((D27+4*E27+9*F27+16*G27+25*H27-C27*I27^2)/(C27-1)))</x:f>
        <x:v>1.0082855886275628</x:v>
      </x:c>
      <x:c r="K27" s="14" t="n">
        <x:v>4</x:v>
      </x:c>
      <x:c r="L27" s="11" t="n">
        <x:f>SUM(G27:H27)</x:f>
        <x:v>102</x:v>
      </x:c>
      <x:c r="M27" s="12" t="n">
        <x:f>IF(C27=0,"n.a.",L27/C27)</x:f>
        <x:v>0.6296296296296297</x:v>
      </x:c>
      <x:c r="N27" s="11" t="n">
        <x:f>SUM(D27:E27)</x:f>
        <x:v>16</x:v>
      </x:c>
      <x:c r="O27" s="12" t="n">
        <x:f>IF(C27=0,"n.a.",N27/C27)</x:f>
        <x:v>0.09876543209876543</x:v>
      </x:c>
      <x:c r="P27" s="12" t="n">
        <x:v>0.5530698988066063</x:v>
      </x:c>
      <x:c r="Q27" s="12" t="n">
        <x:v>0.7001840239378259</x:v>
      </x:c>
    </x:row>
    <x:row r="28" ht="30" customHeight="1">
      <x:c r="A28" s="2" t="str">
        <x:v>Q27</x:v>
      </x:c>
      <x:c r="B28" s="13" t="str">
        <x:v>G4 真实管理项目池（项目制学习）</x:v>
      </x:c>
      <x:c r="C28" s="11" t="n">
        <x:f>SUM(D28:H28)</x:f>
        <x:v>162</x:v>
      </x:c>
      <x:c r="D28" s="11" t="n">
        <x:f>'全题频数'!E400</x:f>
        <x:v>0</x:v>
      </x:c>
      <x:c r="E28" s="11" t="n">
        <x:f>'全题频数'!E401</x:f>
        <x:v>2</x:v>
      </x:c>
      <x:c r="F28" s="11" t="n">
        <x:f>'全题频数'!E402</x:f>
        <x:v>12</x:v>
      </x:c>
      <x:c r="G28" s="11" t="n">
        <x:f>'全题频数'!E403</x:f>
        <x:v>51</x:v>
      </x:c>
      <x:c r="H28" s="11" t="n">
        <x:f>'全题频数'!E404</x:f>
        <x:v>97</x:v>
      </x:c>
      <x:c r="I28" s="14" t="n">
        <x:f>IF(C28=0,"n.a.",(D28+2*E28+3*F28+4*G28+5*H28)/C28)</x:f>
        <x:v>4.5</x:v>
      </x:c>
      <x:c r="J28" s="14" t="n">
        <x:f>IF(C28&lt;2,"n.a.",SQRT((D28+4*E28+9*F28+16*G28+25*H28-C28*I28^2)/(C28-1)))</x:f>
        <x:v>0.6893150799910776</x:v>
      </x:c>
      <x:c r="K28" s="14" t="n">
        <x:v>5</x:v>
      </x:c>
      <x:c r="L28" s="11" t="n">
        <x:f>SUM(G28:H28)</x:f>
        <x:v>148</x:v>
      </x:c>
      <x:c r="M28" s="12" t="n">
        <x:f>IF(C28=0,"n.a.",L28/C28)</x:f>
        <x:v>0.9135802469135802</x:v>
      </x:c>
      <x:c r="N28" s="11" t="n">
        <x:f>SUM(D28:E28)</x:f>
        <x:v>2</x:v>
      </x:c>
      <x:c r="O28" s="12" t="n">
        <x:f>IF(C28=0,"n.a.",N28/C28)</x:f>
        <x:v>0.012345679012345678</x:v>
      </x:c>
      <x:c r="P28" s="12" t="n">
        <x:v>0.8601761009899326</x:v>
      </x:c>
      <x:c r="Q28" s="12" t="n">
        <x:v>0.9478245096708747</x:v>
      </x:c>
    </x:row>
    <x:row r="29" ht="30" customHeight="1">
      <x:c r="A29" s="2" t="str">
        <x:v>Q27</x:v>
      </x:c>
      <x:c r="B29" s="13" t="str">
        <x:v>G5 虚拟运营沙盘演练</x:v>
      </x:c>
      <x:c r="C29" s="11" t="n">
        <x:f>SUM(D29:H29)</x:f>
        <x:v>162</x:v>
      </x:c>
      <x:c r="D29" s="11" t="n">
        <x:f>'全题频数'!E405</x:f>
        <x:v>5</x:v>
      </x:c>
      <x:c r="E29" s="11" t="n">
        <x:f>'全题频数'!E406</x:f>
        <x:v>7</x:v>
      </x:c>
      <x:c r="F29" s="11" t="n">
        <x:f>'全题频数'!E407</x:f>
        <x:v>41</x:v>
      </x:c>
      <x:c r="G29" s="11" t="n">
        <x:f>'全题频数'!E408</x:f>
        <x:v>56</x:v>
      </x:c>
      <x:c r="H29" s="11" t="n">
        <x:f>'全题频数'!E409</x:f>
        <x:v>53</x:v>
      </x:c>
      <x:c r="I29" s="14" t="n">
        <x:f>IF(C29=0,"n.a.",(D29+2*E29+3*F29+4*G29+5*H29)/C29)</x:f>
        <x:v>3.8950617283950617</x:v>
      </x:c>
      <x:c r="J29" s="14" t="n">
        <x:f>IF(C29&lt;2,"n.a.",SQRT((D29+4*E29+9*F29+16*G29+25*H29-C29*I29^2)/(C29-1)))</x:f>
        <x:v>1.0130087078247023</x:v>
      </x:c>
      <x:c r="K29" s="14" t="n">
        <x:v>4</x:v>
      </x:c>
      <x:c r="L29" s="11" t="n">
        <x:f>SUM(G29:H29)</x:f>
        <x:v>109</x:v>
      </x:c>
      <x:c r="M29" s="12" t="n">
        <x:f>IF(C29=0,"n.a.",L29/C29)</x:f>
        <x:v>0.6728395061728395</x:v>
      </x:c>
      <x:c r="N29" s="11" t="n">
        <x:f>SUM(D29:E29)</x:f>
        <x:v>12</x:v>
      </x:c>
      <x:c r="O29" s="12" t="n">
        <x:f>IF(C29=0,"n.a.",N29/C29)</x:f>
        <x:v>0.07407407407407407</x:v>
      </x:c>
      <x:c r="P29" s="12" t="n">
        <x:v>0.597317309296105</x:v>
      </x:c>
      <x:c r="Q29" s="12" t="n">
        <x:v>0.7403545876964712</x:v>
      </x:c>
    </x:row>
    <x:row r="30" ht="30" customHeight="1">
      <x:c r="A30" s="2" t="str">
        <x:v>Q32</x:v>
      </x:c>
      <x:c r="B30" s="13" t="str">
        <x:v>H1 组织领导与归口管理</x:v>
      </x:c>
      <x:c r="C30" s="11" t="n">
        <x:f>SUM(D30:H30)</x:f>
        <x:v>162</x:v>
      </x:c>
      <x:c r="D30" s="11" t="n">
        <x:f>'全题频数'!E442</x:f>
        <x:v>0</x:v>
      </x:c>
      <x:c r="E30" s="11" t="n">
        <x:f>'全题频数'!E443</x:f>
        <x:v>2</x:v>
      </x:c>
      <x:c r="F30" s="11" t="n">
        <x:f>'全题频数'!E444</x:f>
        <x:v>11</x:v>
      </x:c>
      <x:c r="G30" s="11" t="n">
        <x:f>'全题频数'!E445</x:f>
        <x:v>39</x:v>
      </x:c>
      <x:c r="H30" s="11" t="n">
        <x:f>'全题频数'!E446</x:f>
        <x:v>110</x:v>
      </x:c>
      <x:c r="I30" s="14" t="n">
        <x:f>IF(C30=0,"n.a.",(D30+2*E30+3*F30+4*G30+5*H30)/C30)</x:f>
        <x:v>4.58641975308642</x:v>
      </x:c>
      <x:c r="J30" s="14" t="n">
        <x:f>IF(C30&lt;2,"n.a.",SQRT((D30+4*E30+9*F30+16*G30+25*H30-C30*I30^2)/(C30-1)))</x:f>
        <x:v>0.6746985683375258</x:v>
      </x:c>
      <x:c r="K30" s="14" t="n">
        <x:v>5</x:v>
      </x:c>
      <x:c r="L30" s="11" t="n">
        <x:f>SUM(G30:H30)</x:f>
        <x:v>149</x:v>
      </x:c>
      <x:c r="M30" s="12" t="n">
        <x:f>IF(C30=0,"n.a.",L30/C30)</x:f>
        <x:v>0.9197530864197531</x:v>
      </x:c>
      <x:c r="N30" s="11" t="n">
        <x:f>SUM(D30:E30)</x:f>
        <x:v>2</x:v>
      </x:c>
      <x:c r="O30" s="12" t="n">
        <x:f>IF(C30=0,"n.a.",N30/C30)</x:f>
        <x:v>0.012345679012345678</x:v>
      </x:c>
      <x:c r="P30" s="12" t="n">
        <x:v>0.8675546690075141</x:v>
      </x:c>
      <x:c r="Q30" s="12" t="n">
        <x:v>0.952505652260171</x:v>
      </x:c>
    </x:row>
    <x:row r="31" ht="30" customHeight="1">
      <x:c r="A31" s="2" t="str">
        <x:v>Q32</x:v>
      </x:c>
      <x:c r="B31" s="13" t="str">
        <x:v>H2 岗位设置与总会计师制度落实</x:v>
      </x:c>
      <x:c r="C31" s="11" t="n">
        <x:f>SUM(D31:H31)</x:f>
        <x:v>162</x:v>
      </x:c>
      <x:c r="D31" s="11" t="n">
        <x:f>'全题频数'!E447</x:f>
        <x:v>1</x:v>
      </x:c>
      <x:c r="E31" s="11" t="n">
        <x:f>'全题频数'!E448</x:f>
        <x:v>1</x:v>
      </x:c>
      <x:c r="F31" s="11" t="n">
        <x:f>'全题频数'!E449</x:f>
        <x:v>17</x:v>
      </x:c>
      <x:c r="G31" s="11" t="n">
        <x:f>'全题频数'!E450</x:f>
        <x:v>47</x:v>
      </x:c>
      <x:c r="H31" s="11" t="n">
        <x:f>'全题频数'!E451</x:f>
        <x:v>96</x:v>
      </x:c>
      <x:c r="I31" s="14" t="n">
        <x:f>IF(C31=0,"n.a.",(D31+2*E31+3*F31+4*G31+5*H31)/C31)</x:f>
        <x:v>4.45679012345679</x:v>
      </x:c>
      <x:c r="J31" s="14" t="n">
        <x:f>IF(C31&lt;2,"n.a.",SQRT((D31+4*E31+9*F31+16*G31+25*H31-C31*I31^2)/(C31-1)))</x:f>
        <x:v>0.7567400288118727</x:v>
      </x:c>
      <x:c r="K31" s="14" t="n">
        <x:v>5</x:v>
      </x:c>
      <x:c r="L31" s="11" t="n">
        <x:f>SUM(G31:H31)</x:f>
        <x:v>143</x:v>
      </x:c>
      <x:c r="M31" s="12" t="n">
        <x:f>IF(C31=0,"n.a.",L31/C31)</x:f>
        <x:v>0.8827160493827161</x:v>
      </x:c>
      <x:c r="N31" s="11" t="n">
        <x:f>SUM(D31:E31)</x:f>
        <x:v>2</x:v>
      </x:c>
      <x:c r="O31" s="12" t="n">
        <x:f>IF(C31=0,"n.a.",N31/C31)</x:f>
        <x:v>0.012345679012345678</x:v>
      </x:c>
      <x:c r="P31" s="12" t="n">
        <x:v>0.8240849444749194</x:v>
      </x:c>
      <x:c r="Q31" s="12" t="n">
        <x:v>0.9236171131514994</x:v>
      </x:c>
    </x:row>
    <x:row r="32" ht="30" customHeight="1">
      <x:c r="A32" s="2" t="str">
        <x:v>Q32</x:v>
      </x:c>
      <x:c r="B32" s="13" t="str">
        <x:v>H3 师资队伍建设（双师型、行业导师库）</x:v>
      </x:c>
      <x:c r="C32" s="11" t="n">
        <x:f>SUM(D32:H32)</x:f>
        <x:v>162</x:v>
      </x:c>
      <x:c r="D32" s="11" t="n">
        <x:f>'全题频数'!E452</x:f>
        <x:v>0</x:v>
      </x:c>
      <x:c r="E32" s="11" t="n">
        <x:f>'全题频数'!E453</x:f>
        <x:v>5</x:v>
      </x:c>
      <x:c r="F32" s="11" t="n">
        <x:f>'全题频数'!E454</x:f>
        <x:v>20</x:v>
      </x:c>
      <x:c r="G32" s="11" t="n">
        <x:f>'全题频数'!E455</x:f>
        <x:v>60</x:v>
      </x:c>
      <x:c r="H32" s="11" t="n">
        <x:f>'全题频数'!E456</x:f>
        <x:v>77</x:v>
      </x:c>
      <x:c r="I32" s="14" t="n">
        <x:f>IF(C32=0,"n.a.",(D32+2*E32+3*F32+4*G32+5*H32)/C32)</x:f>
        <x:v>4.290123456790123</x:v>
      </x:c>
      <x:c r="J32" s="14" t="n">
        <x:f>IF(C32&lt;2,"n.a.",SQRT((D32+4*E32+9*F32+16*G32+25*H32-C32*I32^2)/(C32-1)))</x:f>
        <x:v>0.8012575424044545</x:v>
      </x:c>
      <x:c r="K32" s="14" t="n">
        <x:v>4</x:v>
      </x:c>
      <x:c r="L32" s="11" t="n">
        <x:f>SUM(G32:H32)</x:f>
        <x:v>137</x:v>
      </x:c>
      <x:c r="M32" s="12" t="n">
        <x:f>IF(C32=0,"n.a.",L32/C32)</x:f>
        <x:v>0.845679012345679</x:v>
      </x:c>
      <x:c r="N32" s="11" t="n">
        <x:f>SUM(D32:E32)</x:f>
        <x:v>5</x:v>
      </x:c>
      <x:c r="O32" s="12" t="n">
        <x:f>IF(C32=0,"n.a.",N32/C32)</x:f>
        <x:v>0.030864197530864196</x:v>
      </x:c>
      <x:c r="P32" s="12" t="n">
        <x:v>0.7821103781147997</x:v>
      </x:c>
      <x:c r="Q32" s="12" t="n">
        <x:v>0.8932334158703527</x:v>
      </x:c>
    </x:row>
    <x:row r="33" ht="30" customHeight="1">
      <x:c r="A33" s="2" t="str">
        <x:v>Q32</x:v>
      </x:c>
      <x:c r="B33" s="13" t="str">
        <x:v>H4 经费投入保障</x:v>
      </x:c>
      <x:c r="C33" s="11" t="n">
        <x:f>SUM(D33:H33)</x:f>
        <x:v>162</x:v>
      </x:c>
      <x:c r="D33" s="11" t="n">
        <x:f>'全题频数'!E457</x:f>
        <x:v>0</x:v>
      </x:c>
      <x:c r="E33" s="11" t="n">
        <x:f>'全题频数'!E458</x:f>
        <x:v>3</x:v>
      </x:c>
      <x:c r="F33" s="11" t="n">
        <x:f>'全题频数'!E459</x:f>
        <x:v>8</x:v>
      </x:c>
      <x:c r="G33" s="11" t="n">
        <x:f>'全题频数'!E460</x:f>
        <x:v>47</x:v>
      </x:c>
      <x:c r="H33" s="11" t="n">
        <x:f>'全题频数'!E461</x:f>
        <x:v>104</x:v>
      </x:c>
      <x:c r="I33" s="14" t="n">
        <x:f>IF(C33=0,"n.a.",(D33+2*E33+3*F33+4*G33+5*H33)/C33)</x:f>
        <x:v>4.555555555555555</x:v>
      </x:c>
      <x:c r="J33" s="14" t="n">
        <x:f>IF(C33&lt;2,"n.a.",SQRT((D33+4*E33+9*F33+16*G33+25*H33-C33*I33^2)/(C33-1)))</x:f>
        <x:v>0.6779582060809844</x:v>
      </x:c>
      <x:c r="K33" s="14" t="n">
        <x:v>5</x:v>
      </x:c>
      <x:c r="L33" s="11" t="n">
        <x:f>SUM(G33:H33)</x:f>
        <x:v>151</x:v>
      </x:c>
      <x:c r="M33" s="12" t="n">
        <x:f>IF(C33=0,"n.a.",L33/C33)</x:f>
        <x:v>0.9320987654320988</x:v>
      </x:c>
      <x:c r="N33" s="11" t="n">
        <x:f>SUM(D33:E33)</x:f>
        <x:v>3</x:v>
      </x:c>
      <x:c r="O33" s="12" t="n">
        <x:f>IF(C33=0,"n.a.",N33/C33)</x:f>
        <x:v>0.018518518518518517</x:v>
      </x:c>
      <x:c r="P33" s="12" t="n">
        <x:v>0.8825145335892841</x:v>
      </x:c>
      <x:c r="Q33" s="12" t="n">
        <x:v>0.9616652088921565</x:v>
      </x:c>
    </x:row>
    <x:row r="34" ht="30" customHeight="1">
      <x:c r="A34" s="2" t="str">
        <x:v>Q32</x:v>
      </x:c>
      <x:c r="B34" s="13" t="str">
        <x:v>H5 考核激励与培训结果运用</x:v>
      </x:c>
      <x:c r="C34" s="11" t="n">
        <x:f>SUM(D34:H34)</x:f>
        <x:v>162</x:v>
      </x:c>
      <x:c r="D34" s="11" t="n">
        <x:f>'全题频数'!E462</x:f>
        <x:v>0</x:v>
      </x:c>
      <x:c r="E34" s="11" t="n">
        <x:f>'全题频数'!E463</x:f>
        <x:v>2</x:v>
      </x:c>
      <x:c r="F34" s="11" t="n">
        <x:f>'全题频数'!E464</x:f>
        <x:v>8</x:v>
      </x:c>
      <x:c r="G34" s="11" t="n">
        <x:f>'全题频数'!E465</x:f>
        <x:v>44</x:v>
      </x:c>
      <x:c r="H34" s="11" t="n">
        <x:f>'全题频数'!E466</x:f>
        <x:v>108</x:v>
      </x:c>
      <x:c r="I34" s="14" t="n">
        <x:f>IF(C34=0,"n.a.",(D34+2*E34+3*F34+4*G34+5*H34)/C34)</x:f>
        <x:v>4.592592592592593</x:v>
      </x:c>
      <x:c r="J34" s="14" t="n">
        <x:f>IF(C34&lt;2,"n.a.",SQRT((D34+4*E34+9*F34+16*G34+25*H34-C34*I34^2)/(C34-1)))</x:f>
        <x:v>0.64563085385373</x:v>
      </x:c>
      <x:c r="K34" s="14" t="n">
        <x:v>5</x:v>
      </x:c>
      <x:c r="L34" s="11" t="n">
        <x:f>SUM(G34:H34)</x:f>
        <x:v>152</x:v>
      </x:c>
      <x:c r="M34" s="12" t="n">
        <x:f>IF(C34=0,"n.a.",L34/C34)</x:f>
        <x:v>0.9382716049382716</x:v>
      </x:c>
      <x:c r="N34" s="11" t="n">
        <x:f>SUM(D34:E34)</x:f>
        <x:v>2</x:v>
      </x:c>
      <x:c r="O34" s="12" t="n">
        <x:f>IF(C34=0,"n.a.",N34/C34)</x:f>
        <x:v>0.012345679012345678</x:v>
      </x:c>
      <x:c r="P34" s="12" t="n">
        <x:v>0.8901112957855875</x:v>
      </x:c>
      <x:c r="Q34" s="12" t="n">
        <x:v>0.9661281573027307</x:v>
      </x:c>
    </x:row>
    <x:row r="35" ht="30" customHeight="1">
      <x:c r="A35" s="2" t="str">
        <x:v>Q32</x:v>
      </x:c>
      <x:c r="B35" s="13" t="str">
        <x:v>H6 职业发展通道与职称晋升衔接</x:v>
      </x:c>
      <x:c r="C35" s="11" t="n">
        <x:f>SUM(D35:H35)</x:f>
        <x:v>162</x:v>
      </x:c>
      <x:c r="D35" s="11" t="n">
        <x:f>'全题频数'!E467</x:f>
        <x:v>0</x:v>
      </x:c>
      <x:c r="E35" s="11" t="n">
        <x:f>'全题频数'!E468</x:f>
        <x:v>2</x:v>
      </x:c>
      <x:c r="F35" s="11" t="n">
        <x:f>'全题频数'!E469</x:f>
        <x:v>5</x:v>
      </x:c>
      <x:c r="G35" s="11" t="n">
        <x:f>'全题频数'!E470</x:f>
        <x:v>41</x:v>
      </x:c>
      <x:c r="H35" s="11" t="n">
        <x:f>'全题频数'!E471</x:f>
        <x:v>114</x:v>
      </x:c>
      <x:c r="I35" s="14" t="n">
        <x:f>IF(C35=0,"n.a.",(D35+2*E35+3*F35+4*G35+5*H35)/C35)</x:f>
        <x:v>4.648148148148148</x:v>
      </x:c>
      <x:c r="J35" s="14" t="n">
        <x:f>IF(C35&lt;2,"n.a.",SQRT((D35+4*E35+9*F35+16*G35+25*H35-C35*I35^2)/(C35-1)))</x:f>
        <x:v>0.605074013461773</x:v>
      </x:c>
      <x:c r="K35" s="14" t="n">
        <x:v>5</x:v>
      </x:c>
      <x:c r="L35" s="11" t="n">
        <x:f>SUM(G35:H35)</x:f>
        <x:v>155</x:v>
      </x:c>
      <x:c r="M35" s="12" t="n">
        <x:f>IF(C35=0,"n.a.",L35/C35)</x:f>
        <x:v>0.9567901234567902</x:v>
      </x:c>
      <x:c r="N35" s="11" t="n">
        <x:f>SUM(D35:E35)</x:f>
        <x:v>2</x:v>
      </x:c>
      <x:c r="O35" s="12" t="n">
        <x:f>IF(C35=0,"n.a.",N35/C35)</x:f>
        <x:v>0.012345679012345678</x:v>
      </x:c>
      <x:c r="P35" s="12" t="n">
        <x:v>0.9135046277168113</x:v>
      </x:c>
      <x:c r="Q35" s="12" t="n">
        <x:v>0.9789139571921401</x:v>
      </x:c>
    </x:row>
    <x:row r="36" ht="30" customHeight="1">
      <x:c r="A36" s="2" t="str">
        <x:v>Q32</x:v>
      </x:c>
      <x:c r="B36" s="13" t="str">
        <x:v>H7 学习时间保障与安排</x:v>
      </x:c>
      <x:c r="C36" s="11" t="n">
        <x:f>SUM(D36:H36)</x:f>
        <x:v>162</x:v>
      </x:c>
      <x:c r="D36" s="11" t="n">
        <x:f>'全题频数'!E472</x:f>
        <x:v>0</x:v>
      </x:c>
      <x:c r="E36" s="11" t="n">
        <x:f>'全题频数'!E473</x:f>
        <x:v>2</x:v>
      </x:c>
      <x:c r="F36" s="11" t="n">
        <x:f>'全题频数'!E474</x:f>
        <x:v>13</x:v>
      </x:c>
      <x:c r="G36" s="11" t="n">
        <x:f>'全题频数'!E475</x:f>
        <x:v>46</x:v>
      </x:c>
      <x:c r="H36" s="11" t="n">
        <x:f>'全题频数'!E476</x:f>
        <x:v>101</x:v>
      </x:c>
      <x:c r="I36" s="14" t="n">
        <x:f>IF(C36=0,"n.a.",(D36+2*E36+3*F36+4*G36+5*H36)/C36)</x:f>
        <x:v>4.518518518518518</x:v>
      </x:c>
      <x:c r="J36" s="14" t="n">
        <x:f>IF(C36&lt;2,"n.a.",SQRT((D36+4*E36+9*F36+16*G36+25*H36-C36*I36^2)/(C36-1)))</x:f>
        <x:v>0.6980204683167236</x:v>
      </x:c>
      <x:c r="K36" s="14" t="n">
        <x:v>5</x:v>
      </x:c>
      <x:c r="L36" s="11" t="n">
        <x:f>SUM(G36:H36)</x:f>
        <x:v>147</x:v>
      </x:c>
      <x:c r="M36" s="12" t="n">
        <x:f>IF(C36=0,"n.a.",L36/C36)</x:f>
        <x:v>0.9074074074074074</x:v>
      </x:c>
      <x:c r="N36" s="11" t="n">
        <x:f>SUM(D36:E36)</x:f>
        <x:v>2</x:v>
      </x:c>
      <x:c r="O36" s="12" t="n">
        <x:f>IF(C36=0,"n.a.",N36/C36)</x:f>
        <x:v>0.012345679012345678</x:v>
      </x:c>
      <x:c r="P36" s="12" t="n">
        <x:v>0.8528569261660858</x:v>
      </x:c>
      <x:c r="Q36" s="12" t="n">
        <x:v>0.9430839738878439</x:v>
      </x:c>
    </x:row>
    <x:row r="37" ht="30" customHeight="1">
      <x:c r="A37" s="2" t="str">
        <x:v>Q32</x:v>
      </x:c>
      <x:c r="B37" s="13" t="str">
        <x:v>H8 信息化学习平台与培训档案管理</x:v>
      </x:c>
      <x:c r="C37" s="11" t="n">
        <x:f>SUM(D37:H37)</x:f>
        <x:v>162</x:v>
      </x:c>
      <x:c r="D37" s="11" t="n">
        <x:f>'全题频数'!E477</x:f>
        <x:v>0</x:v>
      </x:c>
      <x:c r="E37" s="11" t="n">
        <x:f>'全题频数'!E478</x:f>
        <x:v>2</x:v>
      </x:c>
      <x:c r="F37" s="11" t="n">
        <x:f>'全题频数'!E479</x:f>
        <x:v>26</x:v>
      </x:c>
      <x:c r="G37" s="11" t="n">
        <x:f>'全题频数'!E480</x:f>
        <x:v>61</x:v>
      </x:c>
      <x:c r="H37" s="11" t="n">
        <x:f>'全题频数'!E481</x:f>
        <x:v>73</x:v>
      </x:c>
      <x:c r="I37" s="14" t="n">
        <x:f>IF(C37=0,"n.a.",(D37+2*E37+3*F37+4*G37+5*H37)/C37)</x:f>
        <x:v>4.265432098765432</x:v>
      </x:c>
      <x:c r="J37" s="14" t="n">
        <x:f>IF(C37&lt;2,"n.a.",SQRT((D37+4*E37+9*F37+16*G37+25*H37-C37*I37^2)/(C37-1)))</x:f>
        <x:v>0.770522206374396</x:v>
      </x:c>
      <x:c r="K37" s="14" t="n">
        <x:v>4</x:v>
      </x:c>
      <x:c r="L37" s="11" t="n">
        <x:f>SUM(G37:H37)</x:f>
        <x:v>134</x:v>
      </x:c>
      <x:c r="M37" s="12" t="n">
        <x:f>IF(C37=0,"n.a.",L37/C37)</x:f>
        <x:v>0.8271604938271605</x:v>
      </x:c>
      <x:c r="N37" s="11" t="n">
        <x:f>SUM(D37:E37)</x:f>
        <x:v>2</x:v>
      </x:c>
      <x:c r="O37" s="12" t="n">
        <x:f>IF(C37=0,"n.a.",N37/C37)</x:f>
        <x:v>0.012345679012345678</x:v>
      </x:c>
      <x:c r="P37" s="12" t="n">
        <x:v>0.7615391291082991</x:v>
      </x:c>
      <x:c r="Q37" s="12" t="n">
        <x:v>0.8776255330562202</x:v>
      </x:c>
    </x:row>
    <x:row r="38" ht="30" customHeight="1">
      <x:c r="A38" s="2" t="str">
        <x:v>Q33</x:v>
      </x:c>
      <x:c r="B38" s="13" t="str">
        <x:v>I1 建立分层分类培训体系</x:v>
      </x:c>
      <x:c r="C38" s="11" t="n">
        <x:f>SUM(D38:H38)</x:f>
        <x:v>162</x:v>
      </x:c>
      <x:c r="D38" s="11" t="n">
        <x:f>'全题频数'!E482</x:f>
        <x:v>0</x:v>
      </x:c>
      <x:c r="E38" s="11" t="n">
        <x:f>'全题频数'!E483</x:f>
        <x:v>1</x:v>
      </x:c>
      <x:c r="F38" s="11" t="n">
        <x:f>'全题频数'!E484</x:f>
        <x:v>8</x:v>
      </x:c>
      <x:c r="G38" s="11" t="n">
        <x:f>'全题频数'!E485</x:f>
        <x:v>45</x:v>
      </x:c>
      <x:c r="H38" s="11" t="n">
        <x:f>'全题频数'!E486</x:f>
        <x:v>108</x:v>
      </x:c>
      <x:c r="I38" s="14" t="n">
        <x:f>IF(C38=0,"n.a.",(D38+2*E38+3*F38+4*G38+5*H38)/C38)</x:f>
        <x:v>4.604938271604938</x:v>
      </x:c>
      <x:c r="J38" s="14" t="n">
        <x:f>IF(C38&lt;2,"n.a.",SQRT((D38+4*E38+9*F38+16*G38+25*H38-C38*I38^2)/(C38-1)))</x:f>
        <x:v>0.6140996003477807</x:v>
      </x:c>
      <x:c r="K38" s="14" t="n">
        <x:v>5</x:v>
      </x:c>
      <x:c r="L38" s="11" t="n">
        <x:f>SUM(G38:H38)</x:f>
        <x:v>153</x:v>
      </x:c>
      <x:c r="M38" s="12" t="n">
        <x:f>IF(C38=0,"n.a.",L38/C38)</x:f>
        <x:v>0.9444444444444444</x:v>
      </x:c>
      <x:c r="N38" s="11" t="n">
        <x:f>SUM(D38:E38)</x:f>
        <x:v>1</x:v>
      </x:c>
      <x:c r="O38" s="12" t="n">
        <x:f>IF(C38=0,"n.a.",N38/C38)</x:f>
        <x:v>0.006172839506172839</x:v>
      </x:c>
      <x:c r="P38" s="12" t="n">
        <x:v>0.8977992046951286</x:v>
      </x:c>
      <x:c r="Q38" s="12" t="n">
        <x:v>0.9704999590000674</x:v>
      </x:c>
    </x:row>
    <x:row r="39" ht="30" customHeight="1">
      <x:c r="A39" s="2" t="str">
        <x:v>Q33</x:v>
      </x:c>
      <x:c r="B39" s="13" t="str">
        <x:v>I2 建立岗位胜任力评价体系</x:v>
      </x:c>
      <x:c r="C39" s="11" t="n">
        <x:f>SUM(D39:H39)</x:f>
        <x:v>162</x:v>
      </x:c>
      <x:c r="D39" s="11" t="n">
        <x:f>'全题频数'!E487</x:f>
        <x:v>0</x:v>
      </x:c>
      <x:c r="E39" s="11" t="n">
        <x:f>'全题频数'!E488</x:f>
        <x:v>1</x:v>
      </x:c>
      <x:c r="F39" s="11" t="n">
        <x:f>'全题频数'!E489</x:f>
        <x:v>12</x:v>
      </x:c>
      <x:c r="G39" s="11" t="n">
        <x:f>'全题频数'!E490</x:f>
        <x:v>45</x:v>
      </x:c>
      <x:c r="H39" s="11" t="n">
        <x:f>'全题频数'!E491</x:f>
        <x:v>104</x:v>
      </x:c>
      <x:c r="I39" s="14" t="n">
        <x:f>IF(C39=0,"n.a.",(D39+2*E39+3*F39+4*G39+5*H39)/C39)</x:f>
        <x:v>4.555555555555555</x:v>
      </x:c>
      <x:c r="J39" s="14" t="n">
        <x:f>IF(C39&lt;2,"n.a.",SQRT((D39+4*E39+9*F39+16*G39+25*H39-C39*I39^2)/(C39-1)))</x:f>
        <x:v>0.659380473395787</x:v>
      </x:c>
      <x:c r="K39" s="14" t="n">
        <x:v>5</x:v>
      </x:c>
      <x:c r="L39" s="11" t="n">
        <x:f>SUM(G39:H39)</x:f>
        <x:v>149</x:v>
      </x:c>
      <x:c r="M39" s="12" t="n">
        <x:f>IF(C39=0,"n.a.",L39/C39)</x:f>
        <x:v>0.9197530864197531</x:v>
      </x:c>
      <x:c r="N39" s="11" t="n">
        <x:f>SUM(D39:E39)</x:f>
        <x:v>1</x:v>
      </x:c>
      <x:c r="O39" s="12" t="n">
        <x:f>IF(C39=0,"n.a.",N39/C39)</x:f>
        <x:v>0.006172839506172839</x:v>
      </x:c>
      <x:c r="P39" s="12" t="n">
        <x:v>0.8675546690075141</x:v>
      </x:c>
      <x:c r="Q39" s="12" t="n">
        <x:v>0.952505652260171</x:v>
      </x:c>
    </x:row>
    <x:row r="40" ht="30" customHeight="1">
      <x:c r="A40" s="2" t="str">
        <x:v>Q33</x:v>
      </x:c>
      <x:c r="B40" s="13" t="str">
        <x:v>I3 建立行业经济管理人才库</x:v>
      </x:c>
      <x:c r="C40" s="11" t="n">
        <x:f>SUM(D40:H40)</x:f>
        <x:v>162</x:v>
      </x:c>
      <x:c r="D40" s="11" t="n">
        <x:f>'全题频数'!E492</x:f>
        <x:v>0</x:v>
      </x:c>
      <x:c r="E40" s="11" t="n">
        <x:f>'全题频数'!E493</x:f>
        <x:v>1</x:v>
      </x:c>
      <x:c r="F40" s="11" t="n">
        <x:f>'全题频数'!E494</x:f>
        <x:v>16</x:v>
      </x:c>
      <x:c r="G40" s="11" t="n">
        <x:f>'全题频数'!E495</x:f>
        <x:v>43</x:v>
      </x:c>
      <x:c r="H40" s="11" t="n">
        <x:f>'全题频数'!E496</x:f>
        <x:v>102</x:v>
      </x:c>
      <x:c r="I40" s="14" t="n">
        <x:f>IF(C40=0,"n.a.",(D40+2*E40+3*F40+4*G40+5*H40)/C40)</x:f>
        <x:v>4.518518518518518</x:v>
      </x:c>
      <x:c r="J40" s="14" t="n">
        <x:f>IF(C40&lt;2,"n.a.",SQRT((D40+4*E40+9*F40+16*G40+25*H40-C40*I40^2)/(C40-1)))</x:f>
        <x:v>0.6980204683167236</x:v>
      </x:c>
      <x:c r="K40" s="14" t="n">
        <x:v>5</x:v>
      </x:c>
      <x:c r="L40" s="11" t="n">
        <x:f>SUM(G40:H40)</x:f>
        <x:v>145</x:v>
      </x:c>
      <x:c r="M40" s="12" t="n">
        <x:f>IF(C40=0,"n.a.",L40/C40)</x:f>
        <x:v>0.8950617283950617</x:v>
      </x:c>
      <x:c r="N40" s="11" t="n">
        <x:f>SUM(D40:E40)</x:f>
        <x:v>1</x:v>
      </x:c>
      <x:c r="O40" s="12" t="n">
        <x:f>IF(C40=0,"n.a.",N40/C40)</x:f>
        <x:v>0.006172839506172839</x:v>
      </x:c>
      <x:c r="P40" s="12" t="n">
        <x:v>0.8383776426456437</x:v>
      </x:c>
      <x:c r="Q40" s="12" t="n">
        <x:v>0.9334438361945305</x:v>
      </x:c>
    </x:row>
    <x:row r="41" ht="30" customHeight="1">
      <x:c r="A41" s="2" t="str">
        <x:v>Q33</x:v>
      </x:c>
      <x:c r="B41" s="13" t="str">
        <x:v>I4 建立行业师资库与课程认证制度</x:v>
      </x:c>
      <x:c r="C41" s="11" t="n">
        <x:f>SUM(D41:H41)</x:f>
        <x:v>162</x:v>
      </x:c>
      <x:c r="D41" s="11" t="n">
        <x:f>'全题频数'!E497</x:f>
        <x:v>0</x:v>
      </x:c>
      <x:c r="E41" s="11" t="n">
        <x:f>'全题频数'!E498</x:f>
        <x:v>1</x:v>
      </x:c>
      <x:c r="F41" s="11" t="n">
        <x:f>'全题频数'!E499</x:f>
        <x:v>18</x:v>
      </x:c>
      <x:c r="G41" s="11" t="n">
        <x:f>'全题频数'!E500</x:f>
        <x:v>49</x:v>
      </x:c>
      <x:c r="H41" s="11" t="n">
        <x:f>'全题频数'!E501</x:f>
        <x:v>94</x:v>
      </x:c>
      <x:c r="I41" s="14" t="n">
        <x:f>IF(C41=0,"n.a.",(D41+2*E41+3*F41+4*G41+5*H41)/C41)</x:f>
        <x:v>4.45679012345679</x:v>
      </x:c>
      <x:c r="J41" s="14" t="n">
        <x:f>IF(C41&lt;2,"n.a.",SQRT((D41+4*E41+9*F41+16*G41+25*H41-C41*I41^2)/(C41-1)))</x:f>
        <x:v>0.7145233865759454</x:v>
      </x:c>
      <x:c r="K41" s="14" t="n">
        <x:v>5</x:v>
      </x:c>
      <x:c r="L41" s="11" t="n">
        <x:f>SUM(G41:H41)</x:f>
        <x:v>143</x:v>
      </x:c>
      <x:c r="M41" s="12" t="n">
        <x:f>IF(C41=0,"n.a.",L41/C41)</x:f>
        <x:v>0.8827160493827161</x:v>
      </x:c>
      <x:c r="N41" s="11" t="n">
        <x:f>SUM(D41:E41)</x:f>
        <x:v>1</x:v>
      </x:c>
      <x:c r="O41" s="12" t="n">
        <x:f>IF(C41=0,"n.a.",N41/C41)</x:f>
        <x:v>0.006172839506172839</x:v>
      </x:c>
      <x:c r="P41" s="12" t="n">
        <x:v>0.8240849444749194</x:v>
      </x:c>
      <x:c r="Q41" s="12" t="n">
        <x:v>0.9236171131514994</x:v>
      </x:c>
    </x:row>
    <x:row r="42" ht="30" customHeight="1">
      <x:c r="A42" s="2" t="str">
        <x:v>Q33</x:v>
      </x:c>
      <x:c r="B42" s="13" t="str">
        <x:v>I5 继续教育学分与职称评审衔接制度</x:v>
      </x:c>
      <x:c r="C42" s="11" t="n">
        <x:f>SUM(D42:H42)</x:f>
        <x:v>162</x:v>
      </x:c>
      <x:c r="D42" s="11" t="n">
        <x:f>'全题频数'!E502</x:f>
        <x:v>1</x:v>
      </x:c>
      <x:c r="E42" s="11" t="n">
        <x:f>'全题频数'!E503</x:f>
        <x:v>3</x:v>
      </x:c>
      <x:c r="F42" s="11" t="n">
        <x:f>'全题频数'!E504</x:f>
        <x:v>16</x:v>
      </x:c>
      <x:c r="G42" s="11" t="n">
        <x:f>'全题频数'!E505</x:f>
        <x:v>48</x:v>
      </x:c>
      <x:c r="H42" s="11" t="n">
        <x:f>'全题频数'!E506</x:f>
        <x:v>94</x:v>
      </x:c>
      <x:c r="I42" s="14" t="n">
        <x:f>IF(C42=0,"n.a.",(D42+2*E42+3*F42+4*G42+5*H42)/C42)</x:f>
        <x:v>4.425925925925926</x:v>
      </x:c>
      <x:c r="J42" s="14" t="n">
        <x:f>IF(C42&lt;2,"n.a.",SQRT((D42+4*E42+9*F42+16*G42+25*H42-C42*I42^2)/(C42-1)))</x:f>
        <x:v>0.7944337063176596</x:v>
      </x:c>
      <x:c r="K42" s="14" t="n">
        <x:v>5</x:v>
      </x:c>
      <x:c r="L42" s="11" t="n">
        <x:f>SUM(G42:H42)</x:f>
        <x:v>142</x:v>
      </x:c>
      <x:c r="M42" s="12" t="n">
        <x:f>IF(C42=0,"n.a.",L42/C42)</x:f>
        <x:v>0.8765432098765432</x:v>
      </x:c>
      <x:c r="N42" s="11" t="n">
        <x:f>SUM(D42:E42)</x:f>
        <x:v>4</x:v>
      </x:c>
      <x:c r="O42" s="12" t="n">
        <x:f>IF(C42=0,"n.a.",N42/C42)</x:f>
        <x:v>0.024691358024691357</x:v>
      </x:c>
      <x:c r="P42" s="12" t="n">
        <x:v>0.8170007980791925</x:v>
      </x:c>
      <x:c r="Q42" s="12" t="n">
        <x:v>0.9186415489403486</x:v>
      </x:c>
    </x:row>
    <x:row r="43" ht="30" customHeight="1">
      <x:c r="A43" s="2" t="str">
        <x:v>Q34</x:v>
      </x:c>
      <x:c r="B43" s="13" t="str">
        <x:v>J1 评优评先</x:v>
      </x:c>
      <x:c r="C43" s="11" t="n">
        <x:f>SUM(D43:H43)</x:f>
        <x:v>162</x:v>
      </x:c>
      <x:c r="D43" s="11" t="n">
        <x:f>'全题频数'!E507</x:f>
        <x:v>2</x:v>
      </x:c>
      <x:c r="E43" s="11" t="n">
        <x:f>'全题频数'!E508</x:f>
        <x:v>4</x:v>
      </x:c>
      <x:c r="F43" s="11" t="n">
        <x:f>'全题频数'!E509</x:f>
        <x:v>18</x:v>
      </x:c>
      <x:c r="G43" s="11" t="n">
        <x:f>'全题频数'!E510</x:f>
        <x:v>38</x:v>
      </x:c>
      <x:c r="H43" s="11" t="n">
        <x:f>'全题频数'!E511</x:f>
        <x:v>100</x:v>
      </x:c>
      <x:c r="I43" s="14" t="n">
        <x:f>IF(C43=0,"n.a.",(D43+2*E43+3*F43+4*G43+5*H43)/C43)</x:f>
        <x:v>4.419753086419753</x:v>
      </x:c>
      <x:c r="J43" s="14" t="n">
        <x:f>IF(C43&lt;2,"n.a.",SQRT((D43+4*E43+9*F43+16*G43+25*H43-C43*I43^2)/(C43-1)))</x:f>
        <x:v>0.8756782291545547</x:v>
      </x:c>
      <x:c r="K43" s="14" t="n">
        <x:v>5</x:v>
      </x:c>
      <x:c r="L43" s="11" t="n">
        <x:f>SUM(G43:H43)</x:f>
        <x:v>138</x:v>
      </x:c>
      <x:c r="M43" s="12" t="n">
        <x:f>IF(C43=0,"n.a.",L43/C43)</x:f>
        <x:v>0.8518518518518519</x:v>
      </x:c>
      <x:c r="N43" s="11" t="n">
        <x:f>SUM(D43:E43)</x:f>
        <x:v>6</x:v>
      </x:c>
      <x:c r="O43" s="12" t="n">
        <x:f>IF(C43=0,"n.a.",N43/C43)</x:f>
        <x:v>0.037037037037037035</x:v>
      </x:c>
      <x:c r="P43" s="12" t="n">
        <x:v>0.7890239989405776</x:v>
      </x:c>
      <x:c r="Q43" s="12" t="n">
        <x:v>0.8983795056514525</x:v>
      </x:c>
    </x:row>
    <x:row r="44" ht="30" customHeight="1">
      <x:c r="A44" s="2" t="str">
        <x:v>Q34</x:v>
      </x:c>
      <x:c r="B44" s="13" t="str">
        <x:v>J2 岗位聘任</x:v>
      </x:c>
      <x:c r="C44" s="11" t="n">
        <x:f>SUM(D44:H44)</x:f>
        <x:v>162</x:v>
      </x:c>
      <x:c r="D44" s="11" t="n">
        <x:f>'全题频数'!E512</x:f>
        <x:v>1</x:v>
      </x:c>
      <x:c r="E44" s="11" t="n">
        <x:f>'全题频数'!E513</x:f>
        <x:v>4</x:v>
      </x:c>
      <x:c r="F44" s="11" t="n">
        <x:f>'全题频数'!E514</x:f>
        <x:v>7</x:v>
      </x:c>
      <x:c r="G44" s="11" t="n">
        <x:f>'全题频数'!E515</x:f>
        <x:v>37</x:v>
      </x:c>
      <x:c r="H44" s="11" t="n">
        <x:f>'全题频数'!E516</x:f>
        <x:v>113</x:v>
      </x:c>
      <x:c r="I44" s="14" t="n">
        <x:f>IF(C44=0,"n.a.",(D44+2*E44+3*F44+4*G44+5*H44)/C44)</x:f>
        <x:v>4.58641975308642</x:v>
      </x:c>
      <x:c r="J44" s="14" t="n">
        <x:f>IF(C44&lt;2,"n.a.",SQRT((D44+4*E44+9*F44+16*G44+25*H44-C44*I44^2)/(C44-1)))</x:f>
        <x:v>0.7447127232055893</x:v>
      </x:c>
      <x:c r="K44" s="14" t="n">
        <x:v>5</x:v>
      </x:c>
      <x:c r="L44" s="11" t="n">
        <x:f>SUM(G44:H44)</x:f>
        <x:v>150</x:v>
      </x:c>
      <x:c r="M44" s="12" t="n">
        <x:f>IF(C44=0,"n.a.",L44/C44)</x:f>
        <x:v>0.9259259259259259</x:v>
      </x:c>
      <x:c r="N44" s="11" t="n">
        <x:f>SUM(D44:E44)</x:f>
        <x:v>5</x:v>
      </x:c>
      <x:c r="O44" s="12" t="n">
        <x:f>IF(C44=0,"n.a.",N44/C44)</x:f>
        <x:v>0.030864197530864196</x:v>
      </x:c>
      <x:c r="P44" s="12" t="n">
        <x:v>0.8749984823125505</x:v>
      </x:c>
      <x:c r="Q44" s="12" t="n">
        <x:v>0.9571215495620122</x:v>
      </x:c>
    </x:row>
    <x:row r="45" ht="30" customHeight="1">
      <x:c r="A45" s="2" t="str">
        <x:v>Q34</x:v>
      </x:c>
      <x:c r="B45" s="13" t="str">
        <x:v>J3   薪酬激励</x:v>
      </x:c>
      <x:c r="C45" s="11" t="n">
        <x:f>SUM(D45:H45)</x:f>
        <x:v>162</x:v>
      </x:c>
      <x:c r="D45" s="11" t="n">
        <x:f>'全题频数'!E517</x:f>
        <x:v>1</x:v>
      </x:c>
      <x:c r="E45" s="11" t="n">
        <x:f>'全题频数'!E518</x:f>
        <x:v>5</x:v>
      </x:c>
      <x:c r="F45" s="11" t="n">
        <x:f>'全题频数'!E519</x:f>
        <x:v>6</x:v>
      </x:c>
      <x:c r="G45" s="11" t="n">
        <x:f>'全题频数'!E520</x:f>
        <x:v>38</x:v>
      </x:c>
      <x:c r="H45" s="11" t="n">
        <x:f>'全题频数'!E521</x:f>
        <x:v>112</x:v>
      </x:c>
      <x:c r="I45" s="14" t="n">
        <x:f>IF(C45=0,"n.a.",(D45+2*E45+3*F45+4*G45+5*H45)/C45)</x:f>
        <x:v>4.574074074074074</x:v>
      </x:c>
      <x:c r="J45" s="14" t="n">
        <x:f>IF(C45&lt;2,"n.a.",SQRT((D45+4*E45+9*F45+16*G45+25*H45-C45*I45^2)/(C45-1)))</x:f>
        <x:v>0.7625191622115598</x:v>
      </x:c>
      <x:c r="K45" s="14" t="n">
        <x:v>5</x:v>
      </x:c>
      <x:c r="L45" s="11" t="n">
        <x:f>SUM(G45:H45)</x:f>
        <x:v>150</x:v>
      </x:c>
      <x:c r="M45" s="12" t="n">
        <x:f>IF(C45=0,"n.a.",L45/C45)</x:f>
        <x:v>0.9259259259259259</x:v>
      </x:c>
      <x:c r="N45" s="11" t="n">
        <x:f>SUM(D45:E45)</x:f>
        <x:v>6</x:v>
      </x:c>
      <x:c r="O45" s="12" t="n">
        <x:f>IF(C45=0,"n.a.",N45/C45)</x:f>
        <x:v>0.037037037037037035</x:v>
      </x:c>
      <x:c r="P45" s="12" t="n">
        <x:v>0.8749984823125505</x:v>
      </x:c>
      <x:c r="Q45" s="12" t="n">
        <x:v>0.9571215495620122</x:v>
      </x:c>
    </x:row>
    <x:row r="46" ht="30" customHeight="1">
      <x:c r="A46" s="2" t="str">
        <x:v>Q34</x:v>
      </x:c>
      <x:c r="B46" s="13" t="str">
        <x:v>J4   职称推荐</x:v>
      </x:c>
      <x:c r="C46" s="11" t="n">
        <x:f>SUM(D46:H46)</x:f>
        <x:v>162</x:v>
      </x:c>
      <x:c r="D46" s="11" t="n">
        <x:f>'全题频数'!E522</x:f>
        <x:v>1</x:v>
      </x:c>
      <x:c r="E46" s="11" t="n">
        <x:f>'全题频数'!E523</x:f>
        <x:v>3</x:v>
      </x:c>
      <x:c r="F46" s="11" t="n">
        <x:f>'全题频数'!E524</x:f>
        <x:v>5</x:v>
      </x:c>
      <x:c r="G46" s="11" t="n">
        <x:f>'全题频数'!E525</x:f>
        <x:v>39</x:v>
      </x:c>
      <x:c r="H46" s="11" t="n">
        <x:f>'全题频数'!E526</x:f>
        <x:v>114</x:v>
      </x:c>
      <x:c r="I46" s="14" t="n">
        <x:f>IF(C46=0,"n.a.",(D46+2*E46+3*F46+4*G46+5*H46)/C46)</x:f>
        <x:v>4.617283950617284</x:v>
      </x:c>
      <x:c r="J46" s="14" t="n">
        <x:f>IF(C46&lt;2,"n.a.",SQRT((D46+4*E46+9*F46+16*G46+25*H46-C46*I46^2)/(C46-1)))</x:f>
        <x:v>0.6972510572840114</x:v>
      </x:c>
      <x:c r="K46" s="14" t="n">
        <x:v>5</x:v>
      </x:c>
      <x:c r="L46" s="11" t="n">
        <x:f>SUM(G46:H46)</x:f>
        <x:v>153</x:v>
      </x:c>
      <x:c r="M46" s="12" t="n">
        <x:f>IF(C46=0,"n.a.",L46/C46)</x:f>
        <x:v>0.9444444444444444</x:v>
      </x:c>
      <x:c r="N46" s="11" t="n">
        <x:f>SUM(D46:E46)</x:f>
        <x:v>4</x:v>
      </x:c>
      <x:c r="O46" s="12" t="n">
        <x:f>IF(C46=0,"n.a.",N46/C46)</x:f>
        <x:v>0.024691358024691357</x:v>
      </x:c>
      <x:c r="P46" s="12" t="n">
        <x:v>0.8977992046951286</x:v>
      </x:c>
      <x:c r="Q46" s="12" t="n">
        <x:v>0.9704999590000674</x:v>
      </x:c>
    </x:row>
    <x:row r="47" ht="30" customHeight="1">
      <x:c r="A47" s="2" t="str">
        <x:v>Q34</x:v>
      </x:c>
      <x:c r="B47" s="13" t="str">
        <x:v>J5 人才计划推荐</x:v>
      </x:c>
      <x:c r="C47" s="11" t="n">
        <x:f>SUM(D47:H47)</x:f>
        <x:v>162</x:v>
      </x:c>
      <x:c r="D47" s="11" t="n">
        <x:f>'全题频数'!E527</x:f>
        <x:v>1</x:v>
      </x:c>
      <x:c r="E47" s="11" t="n">
        <x:f>'全题频数'!E528</x:f>
        <x:v>2</x:v>
      </x:c>
      <x:c r="F47" s="11" t="n">
        <x:f>'全题频数'!E529</x:f>
        <x:v>9</x:v>
      </x:c>
      <x:c r="G47" s="11" t="n">
        <x:f>'全题频数'!E530</x:f>
        <x:v>37</x:v>
      </x:c>
      <x:c r="H47" s="11" t="n">
        <x:f>'全题频数'!E531</x:f>
        <x:v>113</x:v>
      </x:c>
      <x:c r="I47" s="14" t="n">
        <x:f>IF(C47=0,"n.a.",(D47+2*E47+3*F47+4*G47+5*H47)/C47)</x:f>
        <x:v>4.598765432098766</x:v>
      </x:c>
      <x:c r="J47" s="14" t="n">
        <x:f>IF(C47&lt;2,"n.a.",SQRT((D47+4*E47+9*F47+16*G47+25*H47-C47*I47^2)/(C47-1)))</x:f>
        <x:v>0.7089479261747295</x:v>
      </x:c>
      <x:c r="K47" s="14" t="n">
        <x:v>5</x:v>
      </x:c>
      <x:c r="L47" s="11" t="n">
        <x:f>SUM(G47:H47)</x:f>
        <x:v>150</x:v>
      </x:c>
      <x:c r="M47" s="12" t="n">
        <x:f>IF(C47=0,"n.a.",L47/C47)</x:f>
        <x:v>0.9259259259259259</x:v>
      </x:c>
      <x:c r="N47" s="11" t="n">
        <x:f>SUM(D47:E47)</x:f>
        <x:v>3</x:v>
      </x:c>
      <x:c r="O47" s="12" t="n">
        <x:f>IF(C47=0,"n.a.",N47/C47)</x:f>
        <x:v>0.018518518518518517</x:v>
      </x:c>
      <x:c r="P47" s="12" t="n">
        <x:v>0.8749984823125505</x:v>
      </x:c>
      <x:c r="Q47" s="12" t="n">
        <x:v>0.9571215495620122</x:v>
      </x:c>
    </x:row>
    <x:row r="48" ht="30" customHeight="1">
      <x:c r="A48" s="2" t="str">
        <x:v>Q35</x:v>
      </x:c>
      <x:c r="B48" s="13" t="str">
        <x:v>K1 职称评审与聘任通道</x:v>
      </x:c>
      <x:c r="C48" s="11" t="n">
        <x:f>SUM(D48:H48)</x:f>
        <x:v>162</x:v>
      </x:c>
      <x:c r="D48" s="11" t="n">
        <x:f>'全题频数'!E532</x:f>
        <x:v>9</x:v>
      </x:c>
      <x:c r="E48" s="11" t="n">
        <x:f>'全题频数'!E533</x:f>
        <x:v>14</x:v>
      </x:c>
      <x:c r="F48" s="11" t="n">
        <x:f>'全题频数'!E534</x:f>
        <x:v>41</x:v>
      </x:c>
      <x:c r="G48" s="11" t="n">
        <x:f>'全题频数'!E535</x:f>
        <x:v>48</x:v>
      </x:c>
      <x:c r="H48" s="11" t="n">
        <x:f>'全题频数'!E536</x:f>
        <x:v>50</x:v>
      </x:c>
      <x:c r="I48" s="14" t="n">
        <x:f>IF(C48=0,"n.a.",(D48+2*E48+3*F48+4*G48+5*H48)/C48)</x:f>
        <x:v>3.7160493827160495</x:v>
      </x:c>
      <x:c r="J48" s="14" t="n">
        <x:f>IF(C48&lt;2,"n.a.",SQRT((D48+4*E48+9*F48+16*G48+25*H48-C48*I48^2)/(C48-1)))</x:f>
        <x:v>1.1554307943479636</x:v>
      </x:c>
      <x:c r="K48" s="14" t="n">
        <x:v>4</x:v>
      </x:c>
      <x:c r="L48" s="11" t="n">
        <x:f>SUM(G48:H48)</x:f>
        <x:v>98</x:v>
      </x:c>
      <x:c r="M48" s="12" t="n">
        <x:f>IF(C48=0,"n.a.",L48/C48)</x:f>
        <x:v>0.6049382716049383</x:v>
      </x:c>
      <x:c r="N48" s="11" t="n">
        <x:f>SUM(D48:E48)</x:f>
        <x:v>23</x:v>
      </x:c>
      <x:c r="O48" s="12" t="n">
        <x:f>IF(C48=0,"n.a.",N48/C48)</x:f>
        <x:v>0.1419753086419753</x:v>
      </x:c>
      <x:c r="P48" s="12" t="n">
        <x:v>0.5280649991663513</x:v>
      </x:c>
      <x:c r="Q48" s="12" t="n">
        <x:v>0.67695008115057</x:v>
      </x:c>
    </x:row>
    <x:row r="49" ht="30" customHeight="1">
      <x:c r="A49" s="2" t="str">
        <x:v>Q35</x:v>
      </x:c>
      <x:c r="B49" s="13" t="str">
        <x:v>K2 岗位层级与职务晋升通道</x:v>
      </x:c>
      <x:c r="C49" s="11" t="n">
        <x:f>SUM(D49:H49)</x:f>
        <x:v>162</x:v>
      </x:c>
      <x:c r="D49" s="11" t="n">
        <x:f>'全题频数'!E537</x:f>
        <x:v>8</x:v>
      </x:c>
      <x:c r="E49" s="11" t="n">
        <x:f>'全题频数'!E538</x:f>
        <x:v>15</x:v>
      </x:c>
      <x:c r="F49" s="11" t="n">
        <x:f>'全题频数'!E539</x:f>
        <x:v>50</x:v>
      </x:c>
      <x:c r="G49" s="11" t="n">
        <x:f>'全题频数'!E540</x:f>
        <x:v>46</x:v>
      </x:c>
      <x:c r="H49" s="11" t="n">
        <x:f>'全题频数'!E541</x:f>
        <x:v>43</x:v>
      </x:c>
      <x:c r="I49" s="14" t="n">
        <x:f>IF(C49=0,"n.a.",(D49+2*E49+3*F49+4*G49+5*H49)/C49)</x:f>
        <x:v>3.623456790123457</x:v>
      </x:c>
      <x:c r="J49" s="14" t="n">
        <x:f>IF(C49&lt;2,"n.a.",SQRT((D49+4*E49+9*F49+16*G49+25*H49-C49*I49^2)/(C49-1)))</x:f>
        <x:v>1.1202009142039746</x:v>
      </x:c>
      <x:c r="K49" s="14" t="n">
        <x:v>4</x:v>
      </x:c>
      <x:c r="L49" s="11" t="n">
        <x:f>SUM(G49:H49)</x:f>
        <x:v>89</x:v>
      </x:c>
      <x:c r="M49" s="12" t="n">
        <x:f>IF(C49=0,"n.a.",L49/C49)</x:f>
        <x:v>0.5493827160493827</x:v>
      </x:c>
      <x:c r="N49" s="11" t="n">
        <x:f>SUM(D49:E49)</x:f>
        <x:v>23</x:v>
      </x:c>
      <x:c r="O49" s="12" t="n">
        <x:f>IF(C49=0,"n.a.",N49/C49)</x:f>
        <x:v>0.1419753086419753</x:v>
      </x:c>
      <x:c r="P49" s="12" t="n">
        <x:v>0.47250456305995064</x:v>
      </x:c>
      <x:c r="Q49" s="12" t="n">
        <x:v>0.623973121795071</x:v>
      </x:c>
    </x:row>
    <x:row r="50" ht="30" customHeight="1">
      <x:c r="A50" s="2" t="str">
        <x:v>Q35</x:v>
      </x:c>
      <x:c r="B50" s="13" t="str">
        <x:v>K3 跨部门轮岗与交流通道</x:v>
      </x:c>
      <x:c r="C50" s="11" t="n">
        <x:f>SUM(D50:H50)</x:f>
        <x:v>162</x:v>
      </x:c>
      <x:c r="D50" s="11" t="n">
        <x:f>'全题频数'!E542</x:f>
        <x:v>8</x:v>
      </x:c>
      <x:c r="E50" s="11" t="n">
        <x:f>'全题频数'!E543</x:f>
        <x:v>23</x:v>
      </x:c>
      <x:c r="F50" s="11" t="n">
        <x:f>'全题频数'!E544</x:f>
        <x:v>56</x:v>
      </x:c>
      <x:c r="G50" s="11" t="n">
        <x:f>'全题频数'!E545</x:f>
        <x:v>36</x:v>
      </x:c>
      <x:c r="H50" s="11" t="n">
        <x:f>'全题频数'!E546</x:f>
        <x:v>39</x:v>
      </x:c>
      <x:c r="I50" s="14" t="n">
        <x:f>IF(C50=0,"n.a.",(D50+2*E50+3*F50+4*G50+5*H50)/C50)</x:f>
        <x:v>3.462962962962963</x:v>
      </x:c>
      <x:c r="J50" s="14" t="n">
        <x:f>IF(C50&lt;2,"n.a.",SQRT((D50+4*E50+9*F50+16*G50+25*H50-C50*I50^2)/(C50-1)))</x:f>
        <x:v>1.1482575992118182</x:v>
      </x:c>
      <x:c r="K50" s="14" t="n">
        <x:v>3</x:v>
      </x:c>
      <x:c r="L50" s="11" t="n">
        <x:f>SUM(G50:H50)</x:f>
        <x:v>75</x:v>
      </x:c>
      <x:c r="M50" s="12" t="n">
        <x:f>IF(C50=0,"n.a.",L50/C50)</x:f>
        <x:v>0.46296296296296297</x:v>
      </x:c>
      <x:c r="N50" s="11" t="n">
        <x:f>SUM(D50:E50)</x:f>
        <x:v>31</x:v>
      </x:c>
      <x:c r="O50" s="12" t="n">
        <x:f>IF(C50=0,"n.a.",N50/C50)</x:f>
        <x:v>0.19135802469135801</x:v>
      </x:c>
      <x:c r="P50" s="12" t="n">
        <x:v>0.38792737738593824</x:v>
      </x:c>
      <x:c r="Q50" s="12" t="n">
        <x:v>0.5397143589727954</x:v>
      </x:c>
    </x:row>
    <x:row r="51" ht="30" customHeight="1">
      <x:c r="A51" s="2" t="str">
        <x:v>Q35</x:v>
      </x:c>
      <x:c r="B51" s="13" t="str">
        <x:v>K4 专业能力进阶与培训通道</x:v>
      </x:c>
      <x:c r="C51" s="11" t="n">
        <x:f>SUM(D51:H51)</x:f>
        <x:v>162</x:v>
      </x:c>
      <x:c r="D51" s="11" t="n">
        <x:f>'全题频数'!E547</x:f>
        <x:v>5</x:v>
      </x:c>
      <x:c r="E51" s="11" t="n">
        <x:f>'全题频数'!E548</x:f>
        <x:v>8</x:v>
      </x:c>
      <x:c r="F51" s="11" t="n">
        <x:f>'全题频数'!E549</x:f>
        <x:v>53</x:v>
      </x:c>
      <x:c r="G51" s="11" t="n">
        <x:f>'全题频数'!E550</x:f>
        <x:v>47</x:v>
      </x:c>
      <x:c r="H51" s="11" t="n">
        <x:f>'全题频数'!E551</x:f>
        <x:v>49</x:v>
      </x:c>
      <x:c r="I51" s="14" t="n">
        <x:f>IF(C51=0,"n.a.",(D51+2*E51+3*F51+4*G51+5*H51)/C51)</x:f>
        <x:v>3.7839506172839505</x:v>
      </x:c>
      <x:c r="J51" s="14" t="n">
        <x:f>IF(C51&lt;2,"n.a.",SQRT((D51+4*E51+9*F51+16*G51+25*H51-C51*I51^2)/(C51-1)))</x:f>
        <x:v>1.0319079344223698</x:v>
      </x:c>
      <x:c r="K51" s="14" t="n">
        <x:v>4</x:v>
      </x:c>
      <x:c r="L51" s="11" t="n">
        <x:f>SUM(G51:H51)</x:f>
        <x:v>96</x:v>
      </x:c>
      <x:c r="M51" s="12" t="n">
        <x:f>IF(C51=0,"n.a.",L51/C51)</x:f>
        <x:v>0.5925925925925926</x:v>
      </x:c>
      <x:c r="N51" s="11" t="n">
        <x:f>SUM(D51:E51)</x:f>
        <x:v>13</x:v>
      </x:c>
      <x:c r="O51" s="12" t="n">
        <x:f>IF(C51=0,"n.a.",N51/C51)</x:f>
        <x:v>0.08024691358024691</x:v>
      </x:c>
      <x:c r="P51" s="12" t="n">
        <x:v>0.5156355909220356</x:v>
      </x:c>
      <x:c r="Q51" s="12" t="n">
        <x:v>0.6652600681811303</x:v>
      </x:c>
    </x:row>
    <x:row r="52" ht="30" customHeight="1">
      <x:c r="A52" s="2" t="str">
        <x:v>Q35</x:v>
      </x:c>
      <x:c r="B52" s="13" t="str">
        <x:v>K5 领军人才与后备人才成长通道</x:v>
      </x:c>
      <x:c r="C52" s="11" t="n">
        <x:f>SUM(D52:H52)</x:f>
        <x:v>162</x:v>
      </x:c>
      <x:c r="D52" s="11" t="n">
        <x:f>'全题频数'!E552</x:f>
        <x:v>7</x:v>
      </x:c>
      <x:c r="E52" s="11" t="n">
        <x:f>'全题频数'!E553</x:f>
        <x:v>10</x:v>
      </x:c>
      <x:c r="F52" s="11" t="n">
        <x:f>'全题频数'!E554</x:f>
        <x:v>52</x:v>
      </x:c>
      <x:c r="G52" s="11" t="n">
        <x:f>'全题频数'!E555</x:f>
        <x:v>46</x:v>
      </x:c>
      <x:c r="H52" s="11" t="n">
        <x:f>'全题频数'!E556</x:f>
        <x:v>47</x:v>
      </x:c>
      <x:c r="I52" s="14" t="n">
        <x:f>IF(C52=0,"n.a.",(D52+2*E52+3*F52+4*G52+5*H52)/C52)</x:f>
        <x:v>3.7160493827160495</x:v>
      </x:c>
      <x:c r="J52" s="14" t="n">
        <x:f>IF(C52&lt;2,"n.a.",SQRT((D52+4*E52+9*F52+16*G52+25*H52-C52*I52^2)/(C52-1)))</x:f>
        <x:v>1.0832957293822183</x:v>
      </x:c>
      <x:c r="K52" s="14" t="n">
        <x:v>4</x:v>
      </x:c>
      <x:c r="L52" s="11" t="n">
        <x:f>SUM(G52:H52)</x:f>
        <x:v>93</x:v>
      </x:c>
      <x:c r="M52" s="12" t="n">
        <x:f>IF(C52=0,"n.a.",L52/C52)</x:f>
        <x:v>0.5740740740740741</x:v>
      </x:c>
      <x:c r="N52" s="11" t="n">
        <x:f>SUM(D52:E52)</x:f>
        <x:v>17</x:v>
      </x:c>
      <x:c r="O52" s="12" t="n">
        <x:f>IF(C52=0,"n.a.",N52/C52)</x:f>
        <x:v>0.10493827160493827</x:v>
      </x:c>
      <x:c r="P52" s="12" t="n">
        <x:v>0.4970807294954763</x:v>
      </x:c>
      <x:c r="Q52" s="12" t="n">
        <x:v>0.6476357977870563</x:v>
      </x:c>
    </x:row>
    <x:row r="53" ht="30" customHeight="1">
      <x:c r="A53" s="2" t="str">
        <x:v>Q35</x:v>
      </x:c>
      <x:c r="B53" s="13" t="str">
        <x:v>K6 薪酬待遇与个人价值体现</x:v>
      </x:c>
      <x:c r="C53" s="11" t="n">
        <x:f>SUM(D53:H53)</x:f>
        <x:v>162</x:v>
      </x:c>
      <x:c r="D53" s="11" t="n">
        <x:f>'全题频数'!E557</x:f>
        <x:v>5</x:v>
      </x:c>
      <x:c r="E53" s="11" t="n">
        <x:f>'全题频数'!E558</x:f>
        <x:v>17</x:v>
      </x:c>
      <x:c r="F53" s="11" t="n">
        <x:f>'全题频数'!E559</x:f>
        <x:v>49</x:v>
      </x:c>
      <x:c r="G53" s="11" t="n">
        <x:f>'全题频数'!E560</x:f>
        <x:v>52</x:v>
      </x:c>
      <x:c r="H53" s="11" t="n">
        <x:f>'全题频数'!E561</x:f>
        <x:v>39</x:v>
      </x:c>
      <x:c r="I53" s="14" t="n">
        <x:f>IF(C53=0,"n.a.",(D53+2*E53+3*F53+4*G53+5*H53)/C53)</x:f>
        <x:v>3.6358024691358026</x:v>
      </x:c>
      <x:c r="J53" s="14" t="n">
        <x:f>IF(C53&lt;2,"n.a.",SQRT((D53+4*E53+9*F53+16*G53+25*H53-C53*I53^2)/(C53-1)))</x:f>
        <x:v>1.0559277975004902</x:v>
      </x:c>
      <x:c r="K53" s="14" t="n">
        <x:v>4</x:v>
      </x:c>
      <x:c r="L53" s="11" t="n">
        <x:f>SUM(G53:H53)</x:f>
        <x:v>91</x:v>
      </x:c>
      <x:c r="M53" s="12" t="n">
        <x:f>IF(C53=0,"n.a.",L53/C53)</x:f>
        <x:v>0.5617283950617284</x:v>
      </x:c>
      <x:c r="N53" s="11" t="n">
        <x:f>SUM(D53:E53)</x:f>
        <x:v>22</x:v>
      </x:c>
      <x:c r="O53" s="12" t="n">
        <x:f>IF(C53=0,"n.a.",N53/C53)</x:f>
        <x:v>0.13580246913580246</x:v>
      </x:c>
      <x:c r="P53" s="12" t="n">
        <x:v>0.4847694672103846</x:v>
      </x:c>
      <x:c r="Q53" s="12" t="n">
        <x:v>0.6358276388583928</x:v>
      </x:c>
    </x:row>
    <x:row r="54" ht="30" customHeight="1">
      <x:c r="A54" s="2" t="str">
        <x:v>Q40</x:v>
      </x:c>
      <x:c r="B54" s="13" t="str">
        <x:v>L1 在校培养阶段:夯实财务、医疗、管理、信息交叉基础知识</x:v>
      </x:c>
      <x:c r="C54" s="11" t="n">
        <x:f>SUM(D54:H54)</x:f>
        <x:v>162</x:v>
      </x:c>
      <x:c r="D54" s="11" t="n">
        <x:f>'全题频数'!E613</x:f>
        <x:v>1</x:v>
      </x:c>
      <x:c r="E54" s="11" t="n">
        <x:f>'全题频数'!E614</x:f>
        <x:v>1</x:v>
      </x:c>
      <x:c r="F54" s="11" t="n">
        <x:f>'全题频数'!E615</x:f>
        <x:v>11</x:v>
      </x:c>
      <x:c r="G54" s="11" t="n">
        <x:f>'全题频数'!E616</x:f>
        <x:v>42</x:v>
      </x:c>
      <x:c r="H54" s="11" t="n">
        <x:f>'全题频数'!E617</x:f>
        <x:v>107</x:v>
      </x:c>
      <x:c r="I54" s="14" t="n">
        <x:f>IF(C54=0,"n.a.",(D54+2*E54+3*F54+4*G54+5*H54)/C54)</x:f>
        <x:v>4.561728395061729</x:v>
      </x:c>
      <x:c r="J54" s="14" t="n">
        <x:f>IF(C54&lt;2,"n.a.",SQRT((D54+4*E54+9*F54+16*G54+25*H54-C54*I54^2)/(C54-1)))</x:f>
        <x:v>0.7043904728166914</x:v>
      </x:c>
      <x:c r="K54" s="14" t="n">
        <x:v>5</x:v>
      </x:c>
      <x:c r="L54" s="11" t="n">
        <x:f>SUM(G54:H54)</x:f>
        <x:v>149</x:v>
      </x:c>
      <x:c r="M54" s="12" t="n">
        <x:f>IF(C54=0,"n.a.",L54/C54)</x:f>
        <x:v>0.9197530864197531</x:v>
      </x:c>
      <x:c r="N54" s="11" t="n">
        <x:f>SUM(D54:E54)</x:f>
        <x:v>2</x:v>
      </x:c>
      <x:c r="O54" s="12" t="n">
        <x:f>IF(C54=0,"n.a.",N54/C54)</x:f>
        <x:v>0.012345679012345678</x:v>
      </x:c>
      <x:c r="P54" s="12" t="n">
        <x:v>0.8675546690075141</x:v>
      </x:c>
      <x:c r="Q54" s="12" t="n">
        <x:v>0.952505652260171</x:v>
      </x:c>
    </x:row>
    <x:row r="55" ht="30" customHeight="1">
      <x:c r="A55" s="2" t="str">
        <x:v>Q40</x:v>
      </x:c>
      <x:c r="B55" s="13" t="str">
        <x:v>L2 岗位适应阶段:通过跟岗实训、轮岗实现实务能力转化</x:v>
      </x:c>
      <x:c r="C55" s="11" t="n">
        <x:f>SUM(D55:H55)</x:f>
        <x:v>162</x:v>
      </x:c>
      <x:c r="D55" s="11" t="n">
        <x:f>'全题频数'!E618</x:f>
        <x:v>1</x:v>
      </x:c>
      <x:c r="E55" s="11" t="n">
        <x:f>'全题频数'!E619</x:f>
        <x:v>1</x:v>
      </x:c>
      <x:c r="F55" s="11" t="n">
        <x:f>'全题频数'!E620</x:f>
        <x:v>9</x:v>
      </x:c>
      <x:c r="G55" s="11" t="n">
        <x:f>'全题频数'!E621</x:f>
        <x:v>36</x:v>
      </x:c>
      <x:c r="H55" s="11" t="n">
        <x:f>'全题频数'!E622</x:f>
        <x:v>115</x:v>
      </x:c>
      <x:c r="I55" s="14" t="n">
        <x:f>IF(C55=0,"n.a.",(D55+2*E55+3*F55+4*G55+5*H55)/C55)</x:f>
        <x:v>4.6234567901234565</x:v>
      </x:c>
      <x:c r="J55" s="14" t="n">
        <x:f>IF(C55&lt;2,"n.a.",SQRT((D55+4*E55+9*F55+16*G55+25*H55-C55*I55^2)/(C55-1)))</x:f>
        <x:v>0.6780995740175644</x:v>
      </x:c>
      <x:c r="K55" s="14" t="n">
        <x:v>5</x:v>
      </x:c>
      <x:c r="L55" s="11" t="n">
        <x:f>SUM(G55:H55)</x:f>
        <x:v>151</x:v>
      </x:c>
      <x:c r="M55" s="12" t="n">
        <x:f>IF(C55=0,"n.a.",L55/C55)</x:f>
        <x:v>0.9320987654320988</x:v>
      </x:c>
      <x:c r="N55" s="11" t="n">
        <x:f>SUM(D55:E55)</x:f>
        <x:v>2</x:v>
      </x:c>
      <x:c r="O55" s="12" t="n">
        <x:f>IF(C55=0,"n.a.",N55/C55)</x:f>
        <x:v>0.012345679012345678</x:v>
      </x:c>
      <x:c r="P55" s="12" t="n">
        <x:v>0.8825145335892841</x:v>
      </x:c>
      <x:c r="Q55" s="12" t="n">
        <x:v>0.9616652088921565</x:v>
      </x:c>
    </x:row>
    <x:row r="56" ht="36" customHeight="1">
      <x:c r="A56" s="2" t="str">
        <x:v>Q40</x:v>
      </x:c>
      <x:c r="B56" s="13" t="str">
        <x:v>L3 能力提升阶段:围绕预算绩效、数智运营、合规风控等专项系统深化进修</x:v>
      </x:c>
      <x:c r="C56" s="11" t="n">
        <x:f>SUM(D56:H56)</x:f>
        <x:v>162</x:v>
      </x:c>
      <x:c r="D56" s="11" t="n">
        <x:f>'全题频数'!E623</x:f>
        <x:v>1</x:v>
      </x:c>
      <x:c r="E56" s="11" t="n">
        <x:f>'全题频数'!E624</x:f>
        <x:v>1</x:v>
      </x:c>
      <x:c r="F56" s="11" t="n">
        <x:f>'全题频数'!E625</x:f>
        <x:v>9</x:v>
      </x:c>
      <x:c r="G56" s="11" t="n">
        <x:f>'全题频数'!E626</x:f>
        <x:v>29</x:v>
      </x:c>
      <x:c r="H56" s="11" t="n">
        <x:f>'全题频数'!E627</x:f>
        <x:v>122</x:v>
      </x:c>
      <x:c r="I56" s="14" t="n">
        <x:f>IF(C56=0,"n.a.",(D56+2*E56+3*F56+4*G56+5*H56)/C56)</x:f>
        <x:v>4.666666666666667</x:v>
      </x:c>
      <x:c r="J56" s="14" t="n">
        <x:f>IF(C56&lt;2,"n.a.",SQRT((D56+4*E56+9*F56+16*G56+25*H56-C56*I56^2)/(C56-1)))</x:f>
        <x:v>0.6687338550904192</x:v>
      </x:c>
      <x:c r="K56" s="14" t="n">
        <x:v>5</x:v>
      </x:c>
      <x:c r="L56" s="11" t="n">
        <x:f>SUM(G56:H56)</x:f>
        <x:v>151</x:v>
      </x:c>
      <x:c r="M56" s="12" t="n">
        <x:f>IF(C56=0,"n.a.",L56/C56)</x:f>
        <x:v>0.9320987654320988</x:v>
      </x:c>
      <x:c r="N56" s="11" t="n">
        <x:f>SUM(D56:E56)</x:f>
        <x:v>2</x:v>
      </x:c>
      <x:c r="O56" s="12" t="n">
        <x:f>IF(C56=0,"n.a.",N56/C56)</x:f>
        <x:v>0.012345679012345678</x:v>
      </x:c>
      <x:c r="P56" s="12" t="n">
        <x:v>0.8825145335892841</x:v>
      </x:c>
      <x:c r="Q56" s="12" t="n">
        <x:v>0.9616652088921565</x:v>
      </x:c>
    </x:row>
    <x:row r="57" ht="30" customHeight="1">
      <x:c r="A57" s="2" t="str">
        <x:v>Q40</x:v>
      </x:c>
      <x:c r="B57" s="13" t="str">
        <x:v>L4 领军人才阶段:提升战略思维与行业引领、穿透式监管能力</x:v>
      </x:c>
      <x:c r="C57" s="11" t="n">
        <x:f>SUM(D57:H57)</x:f>
        <x:v>162</x:v>
      </x:c>
      <x:c r="D57" s="11" t="n">
        <x:f>'全题频数'!E628</x:f>
        <x:v>1</x:v>
      </x:c>
      <x:c r="E57" s="11" t="n">
        <x:f>'全题频数'!E629</x:f>
        <x:v>0</x:v>
      </x:c>
      <x:c r="F57" s="11" t="n">
        <x:f>'全题频数'!E630</x:f>
        <x:v>10</x:v>
      </x:c>
      <x:c r="G57" s="11" t="n">
        <x:f>'全题频数'!E631</x:f>
        <x:v>32</x:v>
      </x:c>
      <x:c r="H57" s="11" t="n">
        <x:f>'全题频数'!E632</x:f>
        <x:v>119</x:v>
      </x:c>
      <x:c r="I57" s="14" t="n">
        <x:f>IF(C57=0,"n.a.",(D57+2*E57+3*F57+4*G57+5*H57)/C57)</x:f>
        <x:v>4.654320987654321</x:v>
      </x:c>
      <x:c r="J57" s="14" t="n">
        <x:f>IF(C57&lt;2,"n.a.",SQRT((D57+4*E57+9*F57+16*G57+25*H57-C57*I57^2)/(C57-1)))</x:f>
        <x:v>0.6529530402138287</x:v>
      </x:c>
      <x:c r="K57" s="14" t="n">
        <x:v>5</x:v>
      </x:c>
      <x:c r="L57" s="11" t="n">
        <x:f>SUM(G57:H57)</x:f>
        <x:v>151</x:v>
      </x:c>
      <x:c r="M57" s="12" t="n">
        <x:f>IF(C57=0,"n.a.",L57/C57)</x:f>
        <x:v>0.9320987654320988</x:v>
      </x:c>
      <x:c r="N57" s="11" t="n">
        <x:f>SUM(D57:E57)</x:f>
        <x:v>1</x:v>
      </x:c>
      <x:c r="O57" s="12" t="n">
        <x:f>IF(C57=0,"n.a.",N57/C57)</x:f>
        <x:v>0.006172839506172839</x:v>
      </x:c>
      <x:c r="P57" s="12" t="n">
        <x:v>0.8825145335892841</x:v>
      </x:c>
      <x:c r="Q57" s="12" t="n">
        <x:v>0.9616652088921565</x:v>
      </x:c>
    </x:row>
    <x:row r="58" ht="30" customHeight="1">
      <x:c r="A58" s="2" t="str">
        <x:v>Q43</x:v>
      </x:c>
      <x:c r="B58" s="13" t="str">
        <x:v>M1 参与年度预算编制与执行分析</x:v>
      </x:c>
      <x:c r="C58" s="11" t="n">
        <x:f>SUM(D58:H58)</x:f>
        <x:v>162</x:v>
      </x:c>
      <x:c r="D58" s="11" t="n">
        <x:f>'全题频数'!E640</x:f>
        <x:v>0</x:v>
      </x:c>
      <x:c r="E58" s="11" t="n">
        <x:f>'全题频数'!E641</x:f>
        <x:v>4</x:v>
      </x:c>
      <x:c r="F58" s="11" t="n">
        <x:f>'全题频数'!E642</x:f>
        <x:v>8</x:v>
      </x:c>
      <x:c r="G58" s="11" t="n">
        <x:f>'全题频数'!E643</x:f>
        <x:v>39</x:v>
      </x:c>
      <x:c r="H58" s="11" t="n">
        <x:f>'全题频数'!E644</x:f>
        <x:v>111</x:v>
      </x:c>
      <x:c r="I58" s="14" t="n">
        <x:f>IF(C58=0,"n.a.",(D58+2*E58+3*F58+4*G58+5*H58)/C58)</x:f>
        <x:v>4.58641975308642</x:v>
      </x:c>
      <x:c r="J58" s="14" t="n">
        <x:f>IF(C58&lt;2,"n.a.",SQRT((D58+4*E58+9*F58+16*G58+25*H58-C58*I58^2)/(C58-1)))</x:f>
        <x:v>0.7017729254267713</x:v>
      </x:c>
      <x:c r="K58" s="14" t="n">
        <x:v>5</x:v>
      </x:c>
      <x:c r="L58" s="11" t="n">
        <x:f>SUM(G58:H58)</x:f>
        <x:v>150</x:v>
      </x:c>
      <x:c r="M58" s="12" t="n">
        <x:f>IF(C58=0,"n.a.",L58/C58)</x:f>
        <x:v>0.9259259259259259</x:v>
      </x:c>
      <x:c r="N58" s="11" t="n">
        <x:f>SUM(D58:E58)</x:f>
        <x:v>4</x:v>
      </x:c>
      <x:c r="O58" s="12" t="n">
        <x:f>IF(C58=0,"n.a.",N58/C58)</x:f>
        <x:v>0.024691358024691357</x:v>
      </x:c>
      <x:c r="P58" s="12" t="n">
        <x:v>0.8749984823125505</x:v>
      </x:c>
      <x:c r="Q58" s="12" t="n">
        <x:v>0.9571215495620122</x:v>
      </x:c>
    </x:row>
    <x:row r="59" ht="30" customHeight="1">
      <x:c r="A59" s="2" t="str">
        <x:v>Q43</x:v>
      </x:c>
      <x:c r="B59" s="13" t="str">
        <x:v>M2 参与成本核算与病种盈亏分析项目</x:v>
      </x:c>
      <x:c r="C59" s="11" t="n">
        <x:f>SUM(D59:H59)</x:f>
        <x:v>162</x:v>
      </x:c>
      <x:c r="D59" s="11" t="n">
        <x:f>'全题频数'!E645</x:f>
        <x:v>0</x:v>
      </x:c>
      <x:c r="E59" s="11" t="n">
        <x:f>'全题频数'!E646</x:f>
        <x:v>1</x:v>
      </x:c>
      <x:c r="F59" s="11" t="n">
        <x:f>'全题频数'!E647</x:f>
        <x:v>12</x:v>
      </x:c>
      <x:c r="G59" s="11" t="n">
        <x:f>'全题频数'!E648</x:f>
        <x:v>29</x:v>
      </x:c>
      <x:c r="H59" s="11" t="n">
        <x:f>'全题频数'!E649</x:f>
        <x:v>120</x:v>
      </x:c>
      <x:c r="I59" s="14" t="n">
        <x:f>IF(C59=0,"n.a.",(D59+2*E59+3*F59+4*G59+5*H59)/C59)</x:f>
        <x:v>4.654320987654321</x:v>
      </x:c>
      <x:c r="J59" s="14" t="n">
        <x:f>IF(C59&lt;2,"n.a.",SQRT((D59+4*E59+9*F59+16*G59+25*H59-C59*I59^2)/(C59-1)))</x:f>
        <x:v>0.6433702763386219</x:v>
      </x:c>
      <x:c r="K59" s="14" t="n">
        <x:v>5</x:v>
      </x:c>
      <x:c r="L59" s="11" t="n">
        <x:f>SUM(G59:H59)</x:f>
        <x:v>149</x:v>
      </x:c>
      <x:c r="M59" s="12" t="n">
        <x:f>IF(C59=0,"n.a.",L59/C59)</x:f>
        <x:v>0.9197530864197531</x:v>
      </x:c>
      <x:c r="N59" s="11" t="n">
        <x:f>SUM(D59:E59)</x:f>
        <x:v>1</x:v>
      </x:c>
      <x:c r="O59" s="12" t="n">
        <x:f>IF(C59=0,"n.a.",N59/C59)</x:f>
        <x:v>0.006172839506172839</x:v>
      </x:c>
      <x:c r="P59" s="12" t="n">
        <x:v>0.8675546690075141</x:v>
      </x:c>
      <x:c r="Q59" s="12" t="n">
        <x:v>0.952505652260171</x:v>
      </x:c>
    </x:row>
    <x:row r="60" ht="30" customHeight="1">
      <x:c r="A60" s="2" t="str">
        <x:v>Q43</x:v>
      </x:c>
      <x:c r="B60" s="13" t="str">
        <x:v>M3 参与内部控制建设与内部控制评价</x:v>
      </x:c>
      <x:c r="C60" s="11" t="n">
        <x:f>SUM(D60:H60)</x:f>
        <x:v>162</x:v>
      </x:c>
      <x:c r="D60" s="11" t="n">
        <x:f>'全题频数'!E650</x:f>
        <x:v>0</x:v>
      </x:c>
      <x:c r="E60" s="11" t="n">
        <x:f>'全题频数'!E651</x:f>
        <x:v>2</x:v>
      </x:c>
      <x:c r="F60" s="11" t="n">
        <x:f>'全题频数'!E652</x:f>
        <x:v>14</x:v>
      </x:c>
      <x:c r="G60" s="11" t="n">
        <x:f>'全题频数'!E653</x:f>
        <x:v>47</x:v>
      </x:c>
      <x:c r="H60" s="11" t="n">
        <x:f>'全题频数'!E654</x:f>
        <x:v>99</x:v>
      </x:c>
      <x:c r="I60" s="14" t="n">
        <x:f>IF(C60=0,"n.a.",(D60+2*E60+3*F60+4*G60+5*H60)/C60)</x:f>
        <x:v>4.5</x:v>
      </x:c>
      <x:c r="J60" s="14" t="n">
        <x:f>IF(C60&lt;2,"n.a.",SQRT((D60+4*E60+9*F60+16*G60+25*H60-C60*I60^2)/(C60-1)))</x:f>
        <x:v>0.7071067811865476</x:v>
      </x:c>
      <x:c r="K60" s="14" t="n">
        <x:v>5</x:v>
      </x:c>
      <x:c r="L60" s="11" t="n">
        <x:f>SUM(G60:H60)</x:f>
        <x:v>146</x:v>
      </x:c>
      <x:c r="M60" s="12" t="n">
        <x:f>IF(C60=0,"n.a.",L60/C60)</x:f>
        <x:v>0.9012345679012346</x:v>
      </x:c>
      <x:c r="N60" s="11" t="n">
        <x:f>SUM(D60:E60)</x:f>
        <x:v>2</x:v>
      </x:c>
      <x:c r="O60" s="12" t="n">
        <x:f>IF(C60=0,"n.a.",N60/C60)</x:f>
        <x:v>0.012345679012345678</x:v>
      </x:c>
      <x:c r="P60" s="12" t="n">
        <x:v>0.8455921876731157</x:v>
      </x:c>
      <x:c r="Q60" s="12" t="n">
        <x:v>0.9382890017739361</x:v>
      </x:c>
    </x:row>
    <x:row r="61" ht="30" customHeight="1">
      <x:c r="A61" s="2" t="str">
        <x:v>Q43</x:v>
      </x:c>
      <x:c r="B61" s="13" t="str">
        <x:v>M4 参与运营分析、报告撰写与决策支持</x:v>
      </x:c>
      <x:c r="C61" s="11" t="n">
        <x:f>SUM(D61:H61)</x:f>
        <x:v>162</x:v>
      </x:c>
      <x:c r="D61" s="11" t="n">
        <x:f>'全题频数'!E655</x:f>
        <x:v>0</x:v>
      </x:c>
      <x:c r="E61" s="11" t="n">
        <x:f>'全题频数'!E656</x:f>
        <x:v>0</x:v>
      </x:c>
      <x:c r="F61" s="11" t="n">
        <x:f>'全题频数'!E657</x:f>
        <x:v>11</x:v>
      </x:c>
      <x:c r="G61" s="11" t="n">
        <x:f>'全题频数'!E658</x:f>
        <x:v>30</x:v>
      </x:c>
      <x:c r="H61" s="11" t="n">
        <x:f>'全题频数'!E659</x:f>
        <x:v>121</x:v>
      </x:c>
      <x:c r="I61" s="14" t="n">
        <x:f>IF(C61=0,"n.a.",(D61+2*E61+3*F61+4*G61+5*H61)/C61)</x:f>
        <x:v>4.679012345679013</x:v>
      </x:c>
      <x:c r="J61" s="14" t="n">
        <x:f>IF(C61&lt;2,"n.a.",SQRT((D61+4*E61+9*F61+16*G61+25*H61-C61*I61^2)/(C61-1)))</x:f>
        <x:v>0.5966190560007976</x:v>
      </x:c>
      <x:c r="K61" s="14" t="n">
        <x:v>5</x:v>
      </x:c>
      <x:c r="L61" s="11" t="n">
        <x:f>SUM(G61:H61)</x:f>
        <x:v>151</x:v>
      </x:c>
      <x:c r="M61" s="12" t="n">
        <x:f>IF(C61=0,"n.a.",L61/C61)</x:f>
        <x:v>0.9320987654320988</x:v>
      </x:c>
      <x:c r="N61" s="11" t="n">
        <x:f>SUM(D61:E61)</x:f>
        <x:v>0</x:v>
      </x:c>
      <x:c r="O61" s="12" t="n">
        <x:f>IF(C61=0,"n.a.",N61/C61)</x:f>
        <x:v>0</x:v>
      </x:c>
      <x:c r="P61" s="12" t="n">
        <x:v>0.8825145335892841</x:v>
      </x:c>
      <x:c r="Q61" s="12" t="n">
        <x:v>0.9616652088921565</x:v>
      </x:c>
    </x:row>
    <x:row r="62" ht="30" customHeight="1">
      <x:c r="A62" s="2" t="str">
        <x:v>Q43</x:v>
      </x:c>
      <x:c r="B62" s="13" t="str">
        <x:v>M5 参与审计监督与财会监督</x:v>
      </x:c>
      <x:c r="C62" s="11" t="n">
        <x:f>SUM(D62:H62)</x:f>
        <x:v>162</x:v>
      </x:c>
      <x:c r="D62" s="11" t="n">
        <x:f>'全题频数'!E660</x:f>
        <x:v>0</x:v>
      </x:c>
      <x:c r="E62" s="11" t="n">
        <x:f>'全题频数'!E661</x:f>
        <x:v>3</x:v>
      </x:c>
      <x:c r="F62" s="11" t="n">
        <x:f>'全题频数'!E662</x:f>
        <x:v>16</x:v>
      </x:c>
      <x:c r="G62" s="11" t="n">
        <x:f>'全题频数'!E663</x:f>
        <x:v>48</x:v>
      </x:c>
      <x:c r="H62" s="11" t="n">
        <x:f>'全题频数'!E664</x:f>
        <x:v>95</x:v>
      </x:c>
      <x:c r="I62" s="14" t="n">
        <x:f>IF(C62=0,"n.a.",(D62+2*E62+3*F62+4*G62+5*H62)/C62)</x:f>
        <x:v>4.450617283950617</x:v>
      </x:c>
      <x:c r="J62" s="14" t="n">
        <x:f>IF(C62&lt;2,"n.a.",SQRT((D62+4*E62+9*F62+16*G62+25*H62-C62*I62^2)/(C62-1)))</x:f>
        <x:v>0.7481029352214761</x:v>
      </x:c>
      <x:c r="K62" s="14" t="n">
        <x:v>5</x:v>
      </x:c>
      <x:c r="L62" s="11" t="n">
        <x:f>SUM(G62:H62)</x:f>
        <x:v>143</x:v>
      </x:c>
      <x:c r="M62" s="12" t="n">
        <x:f>IF(C62=0,"n.a.",L62/C62)</x:f>
        <x:v>0.8827160493827161</x:v>
      </x:c>
      <x:c r="N62" s="11" t="n">
        <x:f>SUM(D62:E62)</x:f>
        <x:v>3</x:v>
      </x:c>
      <x:c r="O62" s="12" t="n">
        <x:f>IF(C62=0,"n.a.",N62/C62)</x:f>
        <x:v>0.018518518518518517</x:v>
      </x:c>
      <x:c r="P62" s="12" t="n">
        <x:v>0.8240849444749194</x:v>
      </x:c>
      <x:c r="Q62" s="12" t="n">
        <x:v>0.9236171131514994</x:v>
      </x:c>
    </x:row>
    <x:row r="63" ht="30" customHeight="1">
      <x:c r="A63" s="2" t="str">
        <x:v>Q43</x:v>
      </x:c>
      <x:c r="B63" s="13" t="str">
        <x:v>M6 参与绩效分配方案设计与更正</x:v>
      </x:c>
      <x:c r="C63" s="11" t="n">
        <x:f>SUM(D63:H63)</x:f>
        <x:v>162</x:v>
      </x:c>
      <x:c r="D63" s="11" t="n">
        <x:f>'全题频数'!E665</x:f>
        <x:v>0</x:v>
      </x:c>
      <x:c r="E63" s="11" t="n">
        <x:f>'全题频数'!E666</x:f>
        <x:v>2</x:v>
      </x:c>
      <x:c r="F63" s="11" t="n">
        <x:f>'全题频数'!E667</x:f>
        <x:v>16</x:v>
      </x:c>
      <x:c r="G63" s="11" t="n">
        <x:f>'全题频数'!E668</x:f>
        <x:v>46</x:v>
      </x:c>
      <x:c r="H63" s="11" t="n">
        <x:f>'全题频数'!E669</x:f>
        <x:v>98</x:v>
      </x:c>
      <x:c r="I63" s="14" t="n">
        <x:f>IF(C63=0,"n.a.",(D63+2*E63+3*F63+4*G63+5*H63)/C63)</x:f>
        <x:v>4.481481481481482</x:v>
      </x:c>
      <x:c r="J63" s="14" t="n">
        <x:f>IF(C63&lt;2,"n.a.",SQRT((D63+4*E63+9*F63+16*G63+25*H63-C63*I63^2)/(C63-1)))</x:f>
        <x:v>0.7242234841086238</x:v>
      </x:c>
      <x:c r="K63" s="14" t="n">
        <x:v>5</x:v>
      </x:c>
      <x:c r="L63" s="11" t="n">
        <x:f>SUM(G63:H63)</x:f>
        <x:v>144</x:v>
      </x:c>
      <x:c r="M63" s="12" t="n">
        <x:f>IF(C63=0,"n.a.",L63/C63)</x:f>
        <x:v>0.8888888888888888</x:v>
      </x:c>
      <x:c r="N63" s="11" t="n">
        <x:f>SUM(D63:E63)</x:f>
        <x:v>2</x:v>
      </x:c>
      <x:c r="O63" s="12" t="n">
        <x:f>IF(C63=0,"n.a.",N63/C63)</x:f>
        <x:v>0.012345679012345678</x:v>
      </x:c>
      <x:c r="P63" s="12" t="n">
        <x:v>0.8312096257219821</x:v>
      </x:c>
      <x:c r="Q63" s="12" t="n">
        <x:v>0.9285521425113143</x:v>
      </x:c>
    </x:row>
    <x:row r="64" ht="30" customHeight="1">
      <x:c r="A64" s="2" t="str">
        <x:v>Q43</x:v>
      </x:c>
      <x:c r="B64" s="13" t="str">
        <x:v>M7 参与医保收费、物价检查</x:v>
      </x:c>
      <x:c r="C64" s="11" t="n">
        <x:f>SUM(D64:H64)</x:f>
        <x:v>162</x:v>
      </x:c>
      <x:c r="D64" s="11" t="n">
        <x:f>'全题频数'!E670</x:f>
        <x:v>0</x:v>
      </x:c>
      <x:c r="E64" s="11" t="n">
        <x:f>'全题频数'!E671</x:f>
        <x:v>1</x:v>
      </x:c>
      <x:c r="F64" s="11" t="n">
        <x:f>'全题频数'!E672</x:f>
        <x:v>19</x:v>
      </x:c>
      <x:c r="G64" s="11" t="n">
        <x:f>'全题频数'!E673</x:f>
        <x:v>46</x:v>
      </x:c>
      <x:c r="H64" s="11" t="n">
        <x:f>'全题频数'!E674</x:f>
        <x:v>96</x:v>
      </x:c>
      <x:c r="I64" s="14" t="n">
        <x:f>IF(C64=0,"n.a.",(D64+2*E64+3*F64+4*G64+5*H64)/C64)</x:f>
        <x:v>4.462962962962963</x:v>
      </x:c>
      <x:c r="J64" s="14" t="n">
        <x:f>IF(C64&lt;2,"n.a.",SQRT((D64+4*E64+9*F64+16*G64+25*H64-C64*I64^2)/(C64-1)))</x:f>
        <x:v>0.7235084368872765</x:v>
      </x:c>
      <x:c r="K64" s="14" t="n">
        <x:v>5</x:v>
      </x:c>
      <x:c r="L64" s="11" t="n">
        <x:f>SUM(G64:H64)</x:f>
        <x:v>142</x:v>
      </x:c>
      <x:c r="M64" s="12" t="n">
        <x:f>IF(C64=0,"n.a.",L64/C64)</x:f>
        <x:v>0.8765432098765432</x:v>
      </x:c>
      <x:c r="N64" s="11" t="n">
        <x:f>SUM(D64:E64)</x:f>
        <x:v>1</x:v>
      </x:c>
      <x:c r="O64" s="12" t="n">
        <x:f>IF(C64=0,"n.a.",N64/C64)</x:f>
        <x:v>0.006172839506172839</x:v>
      </x:c>
      <x:c r="P64" s="12" t="n">
        <x:v>0.8170007980791925</x:v>
      </x:c>
      <x:c r="Q64" s="12" t="n">
        <x:v>0.9186415489403486</x:v>
      </x:c>
    </x:row>
  </x:sheetData>
  <x:pageMargins left="0.7" right="0.7" top="0.75" bottom="0.75" header="0.3" footer="0.3"/>
  <x:tableParts count="1">
    <x:tablePart xmlns:r="http://schemas.openxmlformats.org/officeDocument/2006/relationships" r:id="R2cd486ff48f845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42" hidden="0" customWidth="1"/>
    <x:col min="3" max="3" width="8.5" hidden="0" customWidth="1"/>
    <x:col min="4" max="4" width="8.5" hidden="0" customWidth="1"/>
    <x:col min="5" max="5" width="8.5" hidden="0" customWidth="1"/>
    <x:col min="6" max="6" width="9.5" hidden="0" customWidth="1"/>
    <x:col min="7" max="7" width="8.5" hidden="0" customWidth="1"/>
    <x:col min="8" max="8" width="10" hidden="0" customWidth="1"/>
    <x:col min="9" max="9" width="11.5" hidden="0" customWidth="1"/>
    <x:col min="10" max="10" width="12.5" hidden="0" customWidth="1"/>
    <x:col min="11" max="11" width="9.5" hidden="0" customWidth="1"/>
    <x:col min="12" max="12" width="9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4" t="str">
        <x:v>Q23、Q25、Q38：首选与前三入选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A3" s="5" t="str">
        <x:v>加权分=第1名×3+第2名×2+第3名；仅为描述性排序，不是已验证效用。并列采用同名次。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9" t="str">
        <x:v>题号</x:v>
      </x:c>
      <x:c r="B5" s="9" t="str">
        <x:v>选项</x:v>
      </x:c>
      <x:c r="C5" s="9" t="str">
        <x:v>第1名</x:v>
      </x:c>
      <x:c r="D5" s="9" t="str">
        <x:v>第2名</x:v>
      </x:c>
      <x:c r="E5" s="9" t="str">
        <x:v>第3名</x:v>
      </x:c>
      <x:c r="F5" s="9" t="str">
        <x:v>前三人数</x:v>
      </x:c>
      <x:c r="G5" s="9" t="str">
        <x:v>分母</x:v>
      </x:c>
      <x:c r="H5" s="9" t="str">
        <x:v>首选率</x:v>
      </x:c>
      <x:c r="I5" s="9" t="str">
        <x:v>前三入选率</x:v>
      </x:c>
      <x:c r="J5" s="9" t="str">
        <x:v>3-2-1加权分</x:v>
      </x:c>
      <x:c r="K5" s="9" t="str">
        <x:v>首选排名</x:v>
      </x:c>
      <x:c r="L5" s="9" t="str">
        <x:v>前三排名</x:v>
      </x:c>
    </x:row>
    <x:row r="6" ht="30" customHeight="1">
      <x:c r="A6" s="2" t="str">
        <x:v>Q23</x:v>
      </x:c>
      <x:c r="B6" s="13" t="str">
        <x:v>成本与预算管理人才</x:v>
      </x:c>
      <x:c r="C6" s="11" t="n">
        <x:f>'全题频数'!E259</x:f>
        <x:v>29</x:v>
      </x:c>
      <x:c r="D6" s="11" t="n">
        <x:f>'全题频数'!E260</x:f>
        <x:v>24</x:v>
      </x:c>
      <x:c r="E6" s="11" t="n">
        <x:f>'全题频数'!E261</x:f>
        <x:v>30</x:v>
      </x:c>
      <x:c r="F6" s="11" t="n">
        <x:f>SUM(C6:E6)</x:f>
        <x:v>83</x:v>
      </x:c>
      <x:c r="G6" s="11" t="n">
        <x:v>162</x:v>
      </x:c>
      <x:c r="H6" s="12" t="n">
        <x:f>C6/G6</x:f>
        <x:v>0.17901234567901234</x:v>
      </x:c>
      <x:c r="I6" s="12" t="n">
        <x:f>F6/G6</x:f>
        <x:v>0.5123456790123457</x:v>
      </x:c>
      <x:c r="J6" s="11" t="n">
        <x:f>3*C6+2*D6+E6</x:f>
        <x:v>165</x:v>
      </x:c>
      <x:c r="K6" s="11" t="n">
        <x:f>1+COUNTIFS($C$6:$C$11,"&gt;"&amp;C6)</x:f>
        <x:v>3</x:v>
      </x:c>
      <x:c r="L6" s="11" t="n">
        <x:f>1+COUNTIFS($F$6:$F$11,"&gt;"&amp;F6)</x:f>
        <x:v>4</x:v>
      </x:c>
    </x:row>
    <x:row r="7" ht="30" customHeight="1">
      <x:c r="A7" s="2" t="str">
        <x:v>Q23</x:v>
      </x:c>
      <x:c r="B7" s="13" t="str">
        <x:v>运营管理人才</x:v>
      </x:c>
      <x:c r="C7" s="11" t="n">
        <x:f>'全题频数'!E263</x:f>
        <x:v>67</x:v>
      </x:c>
      <x:c r="D7" s="11" t="n">
        <x:f>'全题频数'!E264</x:f>
        <x:v>43</x:v>
      </x:c>
      <x:c r="E7" s="11" t="n">
        <x:f>'全题频数'!E265</x:f>
        <x:v>23</x:v>
      </x:c>
      <x:c r="F7" s="11" t="n">
        <x:f>SUM(C7:E7)</x:f>
        <x:v>133</x:v>
      </x:c>
      <x:c r="G7" s="11" t="n">
        <x:v>162</x:v>
      </x:c>
      <x:c r="H7" s="12" t="n">
        <x:f>C7/G7</x:f>
        <x:v>0.41358024691358025</x:v>
      </x:c>
      <x:c r="I7" s="12" t="n">
        <x:f>F7/G7</x:f>
        <x:v>0.8209876543209876</x:v>
      </x:c>
      <x:c r="J7" s="11" t="n">
        <x:f>3*C7+2*D7+E7</x:f>
        <x:v>310</x:v>
      </x:c>
      <x:c r="K7" s="11" t="n">
        <x:f>1+COUNTIFS($C$6:$C$11,"&gt;"&amp;C7)</x:f>
        <x:v>1</x:v>
      </x:c>
      <x:c r="L7" s="11" t="n">
        <x:f>1+COUNTIFS($F$6:$F$11,"&gt;"&amp;F7)</x:f>
        <x:v>1</x:v>
      </x:c>
    </x:row>
    <x:row r="8" ht="30" customHeight="1">
      <x:c r="A8" s="2" t="str">
        <x:v>Q23</x:v>
      </x:c>
      <x:c r="B8" s="13" t="str">
        <x:v>医保管理人才</x:v>
      </x:c>
      <x:c r="C8" s="11" t="n">
        <x:f>'全题频数'!E267</x:f>
        <x:v>6</x:v>
      </x:c>
      <x:c r="D8" s="11" t="n">
        <x:f>'全题频数'!E268</x:f>
        <x:v>19</x:v>
      </x:c>
      <x:c r="E8" s="11" t="n">
        <x:f>'全题频数'!E269</x:f>
        <x:v>17</x:v>
      </x:c>
      <x:c r="F8" s="11" t="n">
        <x:f>SUM(C8:E8)</x:f>
        <x:v>42</x:v>
      </x:c>
      <x:c r="G8" s="11" t="n">
        <x:v>162</x:v>
      </x:c>
      <x:c r="H8" s="12" t="n">
        <x:f>C8/G8</x:f>
        <x:v>0.037037037037037035</x:v>
      </x:c>
      <x:c r="I8" s="12" t="n">
        <x:f>F8/G8</x:f>
        <x:v>0.25925925925925924</x:v>
      </x:c>
      <x:c r="J8" s="11" t="n">
        <x:f>3*C8+2*D8+E8</x:f>
        <x:v>73</x:v>
      </x:c>
      <x:c r="K8" s="11" t="n">
        <x:f>1+COUNTIFS($C$6:$C$11,"&gt;"&amp;C8)</x:f>
        <x:v>5</x:v>
      </x:c>
      <x:c r="L8" s="11" t="n">
        <x:f>1+COUNTIFS($F$6:$F$11,"&gt;"&amp;F8)</x:f>
        <x:v>5</x:v>
      </x:c>
    </x:row>
    <x:row r="9" ht="30" customHeight="1">
      <x:c r="A9" s="2" t="str">
        <x:v>Q23</x:v>
      </x:c>
      <x:c r="B9" s="13" t="str">
        <x:v>内审与监督人才</x:v>
      </x:c>
      <x:c r="C9" s="11" t="n">
        <x:f>'全题频数'!E271</x:f>
        <x:v>3</x:v>
      </x:c>
      <x:c r="D9" s="11" t="n">
        <x:f>'全题频数'!E272</x:f>
        <x:v>3</x:v>
      </x:c>
      <x:c r="E9" s="11" t="n">
        <x:f>'全题频数'!E273</x:f>
        <x:v>13</x:v>
      </x:c>
      <x:c r="F9" s="11" t="n">
        <x:f>SUM(C9:E9)</x:f>
        <x:v>19</x:v>
      </x:c>
      <x:c r="G9" s="11" t="n">
        <x:v>162</x:v>
      </x:c>
      <x:c r="H9" s="12" t="n">
        <x:f>C9/G9</x:f>
        <x:v>0.018518518518518517</x:v>
      </x:c>
      <x:c r="I9" s="12" t="n">
        <x:f>F9/G9</x:f>
        <x:v>0.11728395061728394</x:v>
      </x:c>
      <x:c r="J9" s="11" t="n">
        <x:f>3*C9+2*D9+E9</x:f>
        <x:v>28</x:v>
      </x:c>
      <x:c r="K9" s="11" t="n">
        <x:f>1+COUNTIFS($C$6:$C$11,"&gt;"&amp;C9)</x:f>
        <x:v>6</x:v>
      </x:c>
      <x:c r="L9" s="11" t="n">
        <x:f>1+COUNTIFS($F$6:$F$11,"&gt;"&amp;F9)</x:f>
        <x:v>6</x:v>
      </x:c>
    </x:row>
    <x:row r="10" ht="30" customHeight="1">
      <x:c r="A10" s="2" t="str">
        <x:v>Q23</x:v>
      </x:c>
      <x:c r="B10" s="13" t="str">
        <x:v>数据分析人才</x:v>
      </x:c>
      <x:c r="C10" s="11" t="n">
        <x:f>'全题频数'!E275</x:f>
        <x:v>23</x:v>
      </x:c>
      <x:c r="D10" s="11" t="n">
        <x:f>'全题频数'!E276</x:f>
        <x:v>57</x:v>
      </x:c>
      <x:c r="E10" s="11" t="n">
        <x:f>'全题频数'!E277</x:f>
        <x:v>40</x:v>
      </x:c>
      <x:c r="F10" s="11" t="n">
        <x:f>SUM(C10:E10)</x:f>
        <x:v>120</x:v>
      </x:c>
      <x:c r="G10" s="11" t="n">
        <x:v>162</x:v>
      </x:c>
      <x:c r="H10" s="12" t="n">
        <x:f>C10/G10</x:f>
        <x:v>0.1419753086419753</x:v>
      </x:c>
      <x:c r="I10" s="12" t="n">
        <x:f>F10/G10</x:f>
        <x:v>0.7407407407407407</x:v>
      </x:c>
      <x:c r="J10" s="11" t="n">
        <x:f>3*C10+2*D10+E10</x:f>
        <x:v>223</x:v>
      </x:c>
      <x:c r="K10" s="11" t="n">
        <x:f>1+COUNTIFS($C$6:$C$11,"&gt;"&amp;C10)</x:f>
        <x:v>4</x:v>
      </x:c>
      <x:c r="L10" s="11" t="n">
        <x:f>1+COUNTIFS($F$6:$F$11,"&gt;"&amp;F10)</x:f>
        <x:v>2</x:v>
      </x:c>
    </x:row>
    <x:row r="11" ht="30" customHeight="1">
      <x:c r="A11" s="2" t="str">
        <x:v>Q23</x:v>
      </x:c>
      <x:c r="B11" s="13" t="str">
        <x:v>综合管理人才</x:v>
      </x:c>
      <x:c r="C11" s="11" t="n">
        <x:f>'全题频数'!E279</x:f>
        <x:v>34</x:v>
      </x:c>
      <x:c r="D11" s="11" t="n">
        <x:f>'全题频数'!E280</x:f>
        <x:v>16</x:v>
      </x:c>
      <x:c r="E11" s="11" t="n">
        <x:f>'全题频数'!E281</x:f>
        <x:v>39</x:v>
      </x:c>
      <x:c r="F11" s="11" t="n">
        <x:f>SUM(C11:E11)</x:f>
        <x:v>89</x:v>
      </x:c>
      <x:c r="G11" s="11" t="n">
        <x:v>162</x:v>
      </x:c>
      <x:c r="H11" s="12" t="n">
        <x:f>C11/G11</x:f>
        <x:v>0.20987654320987653</x:v>
      </x:c>
      <x:c r="I11" s="12" t="n">
        <x:f>F11/G11</x:f>
        <x:v>0.5493827160493827</x:v>
      </x:c>
      <x:c r="J11" s="11" t="n">
        <x:f>3*C11+2*D11+E11</x:f>
        <x:v>173</x:v>
      </x:c>
      <x:c r="K11" s="11" t="n">
        <x:f>1+COUNTIFS($C$6:$C$11,"&gt;"&amp;C11)</x:f>
        <x:v>2</x:v>
      </x:c>
      <x:c r="L11" s="11" t="n">
        <x:f>1+COUNTIFS($F$6:$F$11,"&gt;"&amp;F11)</x:f>
        <x:v>3</x:v>
      </x:c>
    </x:row>
    <x:row r="12" ht="30" customHeight="1">
      <x:c r="A12" s="2" t="str">
        <x:v>Q25</x:v>
      </x:c>
      <x:c r="B12" s="13" t="str">
        <x:v>双导师制（业务导师+财务导师）</x:v>
      </x:c>
      <x:c r="C12" s="11" t="n">
        <x:f>'全题频数'!E303</x:f>
        <x:v>33</x:v>
      </x:c>
      <x:c r="D12" s="11" t="n">
        <x:f>'全题频数'!E304</x:f>
        <x:v>8</x:v>
      </x:c>
      <x:c r="E12" s="11" t="n">
        <x:f>'全题频数'!E305</x:f>
        <x:v>21</x:v>
      </x:c>
      <x:c r="F12" s="11" t="n">
        <x:f>SUM(C12:E12)</x:f>
        <x:v>62</x:v>
      </x:c>
      <x:c r="G12" s="11" t="n">
        <x:v>162</x:v>
      </x:c>
      <x:c r="H12" s="12" t="n">
        <x:f>C12/G12</x:f>
        <x:v>0.2037037037037037</x:v>
      </x:c>
      <x:c r="I12" s="12" t="n">
        <x:f>F12/G12</x:f>
        <x:v>0.38271604938271603</x:v>
      </x:c>
      <x:c r="J12" s="11" t="n">
        <x:f>3*C12+2*D12+E12</x:f>
        <x:v>136</x:v>
      </x:c>
      <x:c r="K12" s="11" t="n">
        <x:f>1+COUNTIFS($C$12:$C$19,"&gt;"&amp;C12)</x:f>
        <x:v>2</x:v>
      </x:c>
      <x:c r="L12" s="11" t="n">
        <x:f>1+COUNTIFS($F$12:$F$19,"&gt;"&amp;F12)</x:f>
        <x:v>5</x:v>
      </x:c>
    </x:row>
    <x:row r="13" ht="30" customHeight="1">
      <x:c r="A13" s="2" t="str">
        <x:v>Q25</x:v>
      </x:c>
      <x:c r="B13" s="13" t="str">
        <x:v>跟岗实训/实训医院</x:v>
      </x:c>
      <x:c r="C13" s="11" t="n">
        <x:f>'全题频数'!E307</x:f>
        <x:v>65</x:v>
      </x:c>
      <x:c r="D13" s="11" t="n">
        <x:f>'全题频数'!E308</x:f>
        <x:v>44</x:v>
      </x:c>
      <x:c r="E13" s="11" t="n">
        <x:f>'全题频数'!E309</x:f>
        <x:v>16</x:v>
      </x:c>
      <x:c r="F13" s="11" t="n">
        <x:f>SUM(C13:E13)</x:f>
        <x:v>125</x:v>
      </x:c>
      <x:c r="G13" s="11" t="n">
        <x:v>162</x:v>
      </x:c>
      <x:c r="H13" s="12" t="n">
        <x:f>C13/G13</x:f>
        <x:v>0.4012345679012346</x:v>
      </x:c>
      <x:c r="I13" s="12" t="n">
        <x:f>F13/G13</x:f>
        <x:v>0.7716049382716049</x:v>
      </x:c>
      <x:c r="J13" s="11" t="n">
        <x:f>3*C13+2*D13+E13</x:f>
        <x:v>299</x:v>
      </x:c>
      <x:c r="K13" s="11" t="n">
        <x:f>1+COUNTIFS($C$12:$C$19,"&gt;"&amp;C13)</x:f>
        <x:v>1</x:v>
      </x:c>
      <x:c r="L13" s="11" t="n">
        <x:f>1+COUNTIFS($F$12:$F$19,"&gt;"&amp;F13)</x:f>
        <x:v>1</x:v>
      </x:c>
    </x:row>
    <x:row r="14" ht="30" customHeight="1">
      <x:c r="A14" s="2" t="str">
        <x:v>Q25</x:v>
      </x:c>
      <x:c r="B14" s="13" t="str">
        <x:v>真实案例教学与案例库</x:v>
      </x:c>
      <x:c r="C14" s="11" t="n">
        <x:f>'全题频数'!E311</x:f>
        <x:v>21</x:v>
      </x:c>
      <x:c r="D14" s="11" t="n">
        <x:f>'全题频数'!E312</x:f>
        <x:v>39</x:v>
      </x:c>
      <x:c r="E14" s="11" t="n">
        <x:f>'全题频数'!E313</x:f>
        <x:v>30</x:v>
      </x:c>
      <x:c r="F14" s="11" t="n">
        <x:f>SUM(C14:E14)</x:f>
        <x:v>90</x:v>
      </x:c>
      <x:c r="G14" s="11" t="n">
        <x:v>162</x:v>
      </x:c>
      <x:c r="H14" s="12" t="n">
        <x:f>C14/G14</x:f>
        <x:v>0.12962962962962962</x:v>
      </x:c>
      <x:c r="I14" s="12" t="n">
        <x:f>F14/G14</x:f>
        <x:v>0.5555555555555556</x:v>
      </x:c>
      <x:c r="J14" s="11" t="n">
        <x:f>3*C14+2*D14+E14</x:f>
        <x:v>171</x:v>
      </x:c>
      <x:c r="K14" s="11" t="n">
        <x:f>1+COUNTIFS($C$12:$C$19,"&gt;"&amp;C14)</x:f>
        <x:v>4</x:v>
      </x:c>
      <x:c r="L14" s="11" t="n">
        <x:f>1+COUNTIFS($F$12:$F$19,"&gt;"&amp;F14)</x:f>
        <x:v>3</x:v>
      </x:c>
    </x:row>
    <x:row r="15" ht="30" customHeight="1">
      <x:c r="A15" s="2" t="str">
        <x:v>Q25</x:v>
      </x:c>
      <x:c r="B15" s="13" t="str">
        <x:v>项目制学习（参与实际管理项目）</x:v>
      </x:c>
      <x:c r="C15" s="11" t="n">
        <x:f>'全题频数'!E315</x:f>
        <x:v>30</x:v>
      </x:c>
      <x:c r="D15" s="11" t="n">
        <x:f>'全题频数'!E316</x:f>
        <x:v>33</x:v>
      </x:c>
      <x:c r="E15" s="11" t="n">
        <x:f>'全题频数'!E317</x:f>
        <x:v>32</x:v>
      </x:c>
      <x:c r="F15" s="11" t="n">
        <x:f>SUM(C15:E15)</x:f>
        <x:v>95</x:v>
      </x:c>
      <x:c r="G15" s="11" t="n">
        <x:v>162</x:v>
      </x:c>
      <x:c r="H15" s="12" t="n">
        <x:f>C15/G15</x:f>
        <x:v>0.18518518518518517</x:v>
      </x:c>
      <x:c r="I15" s="12" t="n">
        <x:f>F15/G15</x:f>
        <x:v>0.5864197530864198</x:v>
      </x:c>
      <x:c r="J15" s="11" t="n">
        <x:f>3*C15+2*D15+E15</x:f>
        <x:v>188</x:v>
      </x:c>
      <x:c r="K15" s="11" t="n">
        <x:f>1+COUNTIFS($C$12:$C$19,"&gt;"&amp;C15)</x:f>
        <x:v>3</x:v>
      </x:c>
      <x:c r="L15" s="11" t="n">
        <x:f>1+COUNTIFS($F$12:$F$19,"&gt;"&amp;F15)</x:f>
        <x:v>2</x:v>
      </x:c>
    </x:row>
    <x:row r="16" ht="30" customHeight="1">
      <x:c r="A16" s="2" t="str">
        <x:v>Q25</x:v>
      </x:c>
      <x:c r="B16" s="13" t="str">
        <x:v>学历学位教育</x:v>
      </x:c>
      <x:c r="C16" s="11" t="n">
        <x:f>'全题频数'!E319</x:f>
        <x:v>1</x:v>
      </x:c>
      <x:c r="D16" s="11" t="n">
        <x:f>'全题频数'!E320</x:f>
        <x:v>3</x:v>
      </x:c>
      <x:c r="E16" s="11" t="n">
        <x:f>'全题频数'!E321</x:f>
        <x:v>6</x:v>
      </x:c>
      <x:c r="F16" s="11" t="n">
        <x:f>SUM(C16:E16)</x:f>
        <x:v>10</x:v>
      </x:c>
      <x:c r="G16" s="11" t="n">
        <x:v>162</x:v>
      </x:c>
      <x:c r="H16" s="12" t="n">
        <x:f>C16/G16</x:f>
        <x:v>0.006172839506172839</x:v>
      </x:c>
      <x:c r="I16" s="12" t="n">
        <x:f>F16/G16</x:f>
        <x:v>0.06172839506172839</x:v>
      </x:c>
      <x:c r="J16" s="11" t="n">
        <x:f>3*C16+2*D16+E16</x:f>
        <x:v>15</x:v>
      </x:c>
      <x:c r="K16" s="11" t="n">
        <x:f>1+COUNTIFS($C$12:$C$19,"&gt;"&amp;C16)</x:f>
        <x:v>7</x:v>
      </x:c>
      <x:c r="L16" s="11" t="n">
        <x:f>1+COUNTIFS($F$12:$F$19,"&gt;"&amp;F16)</x:f>
        <x:v>7</x:v>
      </x:c>
    </x:row>
    <x:row r="17" ht="30" customHeight="1">
      <x:c r="A17" s="2" t="str">
        <x:v>Q25</x:v>
      </x:c>
      <x:c r="B17" s="13" t="str">
        <x:v>短期专题研修</x:v>
      </x:c>
      <x:c r="C17" s="11" t="n">
        <x:f>'全题频数'!E323</x:f>
        <x:v>1</x:v>
      </x:c>
      <x:c r="D17" s="11" t="n">
        <x:f>'全题频数'!E324</x:f>
        <x:v>12</x:v>
      </x:c>
      <x:c r="E17" s="11" t="n">
        <x:f>'全题频数'!E325</x:f>
        <x:v>15</x:v>
      </x:c>
      <x:c r="F17" s="11" t="n">
        <x:f>SUM(C17:E17)</x:f>
        <x:v>28</x:v>
      </x:c>
      <x:c r="G17" s="11" t="n">
        <x:v>162</x:v>
      </x:c>
      <x:c r="H17" s="12" t="n">
        <x:f>C17/G17</x:f>
        <x:v>0.006172839506172839</x:v>
      </x:c>
      <x:c r="I17" s="12" t="n">
        <x:f>F17/G17</x:f>
        <x:v>0.1728395061728395</x:v>
      </x:c>
      <x:c r="J17" s="11" t="n">
        <x:f>3*C17+2*D17+E17</x:f>
        <x:v>42</x:v>
      </x:c>
      <x:c r="K17" s="11" t="n">
        <x:f>1+COUNTIFS($C$12:$C$19,"&gt;"&amp;C17)</x:f>
        <x:v>7</x:v>
      </x:c>
      <x:c r="L17" s="11" t="n">
        <x:f>1+COUNTIFS($F$12:$F$19,"&gt;"&amp;F17)</x:f>
        <x:v>6</x:v>
      </x:c>
    </x:row>
    <x:row r="18" ht="30" customHeight="1">
      <x:c r="A18" s="2" t="str">
        <x:v>Q25</x:v>
      </x:c>
      <x:c r="B18" s="13" t="str">
        <x:v>线上自主学习平台</x:v>
      </x:c>
      <x:c r="C18" s="11" t="n">
        <x:f>'全题频数'!E327</x:f>
        <x:v>2</x:v>
      </x:c>
      <x:c r="D18" s="11" t="n">
        <x:f>'全题频数'!E328</x:f>
        <x:v>1</x:v>
      </x:c>
      <x:c r="E18" s="11" t="n">
        <x:f>'全题频数'!E329</x:f>
        <x:v>1</x:v>
      </x:c>
      <x:c r="F18" s="11" t="n">
        <x:f>SUM(C18:E18)</x:f>
        <x:v>4</x:v>
      </x:c>
      <x:c r="G18" s="11" t="n">
        <x:v>162</x:v>
      </x:c>
      <x:c r="H18" s="12" t="n">
        <x:f>C18/G18</x:f>
        <x:v>0.012345679012345678</x:v>
      </x:c>
      <x:c r="I18" s="12" t="n">
        <x:f>F18/G18</x:f>
        <x:v>0.024691358024691357</x:v>
      </x:c>
      <x:c r="J18" s="11" t="n">
        <x:f>3*C18+2*D18+E18</x:f>
        <x:v>9</x:v>
      </x:c>
      <x:c r="K18" s="11" t="n">
        <x:f>1+COUNTIFS($C$12:$C$19,"&gt;"&amp;C18)</x:f>
        <x:v>6</x:v>
      </x:c>
      <x:c r="L18" s="11" t="n">
        <x:f>1+COUNTIFS($F$12:$F$19,"&gt;"&amp;F18)</x:f>
        <x:v>8</x:v>
      </x:c>
    </x:row>
    <x:row r="19" ht="30" customHeight="1">
      <x:c r="A19" s="2" t="str">
        <x:v>Q25</x:v>
      </x:c>
      <x:c r="B19" s="13" t="str">
        <x:v>跨部门交流挂职</x:v>
      </x:c>
      <x:c r="C19" s="11" t="n">
        <x:f>'全题频数'!E331</x:f>
        <x:v>9</x:v>
      </x:c>
      <x:c r="D19" s="11" t="n">
        <x:f>'全题频数'!E332</x:f>
        <x:v>22</x:v>
      </x:c>
      <x:c r="E19" s="11" t="n">
        <x:f>'全题频数'!E333</x:f>
        <x:v>41</x:v>
      </x:c>
      <x:c r="F19" s="11" t="n">
        <x:f>SUM(C19:E19)</x:f>
        <x:v>72</x:v>
      </x:c>
      <x:c r="G19" s="11" t="n">
        <x:v>162</x:v>
      </x:c>
      <x:c r="H19" s="12" t="n">
        <x:f>C19/G19</x:f>
        <x:v>0.05555555555555555</x:v>
      </x:c>
      <x:c r="I19" s="12" t="n">
        <x:f>F19/G19</x:f>
        <x:v>0.4444444444444444</x:v>
      </x:c>
      <x:c r="J19" s="11" t="n">
        <x:f>3*C19+2*D19+E19</x:f>
        <x:v>112</x:v>
      </x:c>
      <x:c r="K19" s="11" t="n">
        <x:f>1+COUNTIFS($C$12:$C$19,"&gt;"&amp;C19)</x:f>
        <x:v>5</x:v>
      </x:c>
      <x:c r="L19" s="11" t="n">
        <x:f>1+COUNTIFS($F$12:$F$19,"&gt;"&amp;F19)</x:f>
        <x:v>4</x:v>
      </x:c>
    </x:row>
    <x:row r="20" ht="30" customHeight="1">
      <x:c r="A20" s="2" t="str">
        <x:v>Q38</x:v>
      </x:c>
      <x:c r="B20" s="13" t="str">
        <x:v>纳入卫生健康人才发展规划</x:v>
      </x:c>
      <x:c r="C20" s="11" t="n">
        <x:f>'全题频数'!E577</x:f>
        <x:v>72</x:v>
      </x:c>
      <x:c r="D20" s="11" t="n">
        <x:f>'全题频数'!E578</x:f>
        <x:v>27</x:v>
      </x:c>
      <x:c r="E20" s="11" t="n">
        <x:f>'全题频数'!E579</x:f>
        <x:v>21</x:v>
      </x:c>
      <x:c r="F20" s="11" t="n">
        <x:f>SUM(C20:E20)</x:f>
        <x:v>120</x:v>
      </x:c>
      <x:c r="G20" s="11" t="n">
        <x:v>162</x:v>
      </x:c>
      <x:c r="H20" s="12" t="n">
        <x:f>C20/G20</x:f>
        <x:v>0.4444444444444444</x:v>
      </x:c>
      <x:c r="I20" s="12" t="n">
        <x:f>F20/G20</x:f>
        <x:v>0.7407407407407407</x:v>
      </x:c>
      <x:c r="J20" s="11" t="n">
        <x:f>3*C20+2*D20+E20</x:f>
        <x:v>291</x:v>
      </x:c>
      <x:c r="K20" s="11" t="n">
        <x:f>1+COUNTIFS($C$20:$C$26,"&gt;"&amp;C20)</x:f>
        <x:v>1</x:v>
      </x:c>
      <x:c r="L20" s="11" t="n">
        <x:f>1+COUNTIFS($F$20:$F$26,"&gt;"&amp;F20)</x:f>
        <x:v>1</x:v>
      </x:c>
    </x:row>
    <x:row r="21" ht="30" customHeight="1">
      <x:c r="A21" s="2" t="str">
        <x:v>Q38</x:v>
      </x:c>
      <x:c r="B21" s="13" t="str">
        <x:v>设立专项培养经费</x:v>
      </x:c>
      <x:c r="C21" s="11" t="n">
        <x:f>'全题频数'!E581</x:f>
        <x:v>33</x:v>
      </x:c>
      <x:c r="D21" s="11" t="n">
        <x:f>'全题频数'!E582</x:f>
        <x:v>46</x:v>
      </x:c>
      <x:c r="E21" s="11" t="n">
        <x:f>'全题频数'!E583</x:f>
        <x:v>27</x:v>
      </x:c>
      <x:c r="F21" s="11" t="n">
        <x:f>SUM(C21:E21)</x:f>
        <x:v>106</x:v>
      </x:c>
      <x:c r="G21" s="11" t="n">
        <x:v>162</x:v>
      </x:c>
      <x:c r="H21" s="12" t="n">
        <x:f>C21/G21</x:f>
        <x:v>0.2037037037037037</x:v>
      </x:c>
      <x:c r="I21" s="12" t="n">
        <x:f>F21/G21</x:f>
        <x:v>0.654320987654321</x:v>
      </x:c>
      <x:c r="J21" s="11" t="n">
        <x:f>3*C21+2*D21+E21</x:f>
        <x:v>218</x:v>
      </x:c>
      <x:c r="K21" s="11" t="n">
        <x:f>1+COUNTIFS($C$20:$C$26,"&gt;"&amp;C21)</x:f>
        <x:v>2</x:v>
      </x:c>
      <x:c r="L21" s="11" t="n">
        <x:f>1+COUNTIFS($F$20:$F$26,"&gt;"&amp;F21)</x:f>
        <x:v>2</x:v>
      </x:c>
    </x:row>
    <x:row r="22" ht="30" customHeight="1">
      <x:c r="A22" s="2" t="str">
        <x:v>Q38</x:v>
      </x:c>
      <x:c r="B22" s="13" t="str">
        <x:v>学时学分认定与职称衔接</x:v>
      </x:c>
      <x:c r="C22" s="11" t="n">
        <x:f>'全题频数'!E585</x:f>
        <x:v>7</x:v>
      </x:c>
      <x:c r="D22" s="11" t="n">
        <x:f>'全题频数'!E586</x:f>
        <x:v>14</x:v>
      </x:c>
      <x:c r="E22" s="11" t="n">
        <x:f>'全题频数'!E587</x:f>
        <x:v>22</x:v>
      </x:c>
      <x:c r="F22" s="11" t="n">
        <x:f>SUM(C22:E22)</x:f>
        <x:v>43</x:v>
      </x:c>
      <x:c r="G22" s="11" t="n">
        <x:v>162</x:v>
      </x:c>
      <x:c r="H22" s="12" t="n">
        <x:f>C22/G22</x:f>
        <x:v>0.043209876543209874</x:v>
      </x:c>
      <x:c r="I22" s="12" t="n">
        <x:f>F22/G22</x:f>
        <x:v>0.2654320987654321</x:v>
      </x:c>
      <x:c r="J22" s="11" t="n">
        <x:f>3*C22+2*D22+E22</x:f>
        <x:v>71</x:v>
      </x:c>
      <x:c r="K22" s="11" t="n">
        <x:f>1+COUNTIFS($C$20:$C$26,"&gt;"&amp;C22)</x:f>
        <x:v>7</x:v>
      </x:c>
      <x:c r="L22" s="11" t="n">
        <x:f>1+COUNTIFS($F$20:$F$26,"&gt;"&amp;F22)</x:f>
        <x:v>6</x:v>
      </x:c>
    </x:row>
    <x:row r="23" ht="30" customHeight="1">
      <x:c r="A23" s="2" t="str">
        <x:v>Q38</x:v>
      </x:c>
      <x:c r="B23" s="13" t="str">
        <x:v>高端人才计划倾斜</x:v>
      </x:c>
      <x:c r="C23" s="11" t="n">
        <x:f>'全题频数'!E589</x:f>
        <x:v>17</x:v>
      </x:c>
      <x:c r="D23" s="11" t="n">
        <x:f>'全题频数'!E590</x:f>
        <x:v>23</x:v>
      </x:c>
      <x:c r="E23" s="11" t="n">
        <x:f>'全题频数'!E591</x:f>
        <x:v>28</x:v>
      </x:c>
      <x:c r="F23" s="11" t="n">
        <x:f>SUM(C23:E23)</x:f>
        <x:v>68</x:v>
      </x:c>
      <x:c r="G23" s="11" t="n">
        <x:v>162</x:v>
      </x:c>
      <x:c r="H23" s="12" t="n">
        <x:f>C23/G23</x:f>
        <x:v>0.10493827160493827</x:v>
      </x:c>
      <x:c r="I23" s="12" t="n">
        <x:f>F23/G23</x:f>
        <x:v>0.41975308641975306</x:v>
      </x:c>
      <x:c r="J23" s="11" t="n">
        <x:f>3*C23+2*D23+E23</x:f>
        <x:v>125</x:v>
      </x:c>
      <x:c r="K23" s="11" t="n">
        <x:f>1+COUNTIFS($C$20:$C$26,"&gt;"&amp;C23)</x:f>
        <x:v>3</x:v>
      </x:c>
      <x:c r="L23" s="11" t="n">
        <x:f>1+COUNTIFS($F$20:$F$26,"&gt;"&amp;F23)</x:f>
        <x:v>3</x:v>
      </x:c>
    </x:row>
    <x:row r="24" ht="30" customHeight="1">
      <x:c r="A24" s="2" t="str">
        <x:v>Q38</x:v>
      </x:c>
      <x:c r="B24" s="13" t="str">
        <x:v>实训基地与师资库建设</x:v>
      </x:c>
      <x:c r="C24" s="11" t="n">
        <x:f>'全题频数'!E593</x:f>
        <x:v>9</x:v>
      </x:c>
      <x:c r="D24" s="11" t="n">
        <x:f>'全题频数'!E594</x:f>
        <x:v>16</x:v>
      </x:c>
      <x:c r="E24" s="11" t="n">
        <x:f>'全题频数'!E595</x:f>
        <x:v>17</x:v>
      </x:c>
      <x:c r="F24" s="11" t="n">
        <x:f>SUM(C24:E24)</x:f>
        <x:v>42</x:v>
      </x:c>
      <x:c r="G24" s="11" t="n">
        <x:v>162</x:v>
      </x:c>
      <x:c r="H24" s="12" t="n">
        <x:f>C24/G24</x:f>
        <x:v>0.05555555555555555</x:v>
      </x:c>
      <x:c r="I24" s="12" t="n">
        <x:f>F24/G24</x:f>
        <x:v>0.25925925925925924</x:v>
      </x:c>
      <x:c r="J24" s="11" t="n">
        <x:f>3*C24+2*D24+E24</x:f>
        <x:v>76</x:v>
      </x:c>
      <x:c r="K24" s="11" t="n">
        <x:f>1+COUNTIFS($C$20:$C$26,"&gt;"&amp;C24)</x:f>
        <x:v>6</x:v>
      </x:c>
      <x:c r="L24" s="11" t="n">
        <x:f>1+COUNTIFS($F$20:$F$26,"&gt;"&amp;F24)</x:f>
        <x:v>7</x:v>
      </x:c>
    </x:row>
    <x:row r="25" ht="30" customHeight="1">
      <x:c r="A25" s="2" t="str">
        <x:v>Q38</x:v>
      </x:c>
      <x:c r="B25" s="13" t="str">
        <x:v>岗位设置与编制保障</x:v>
      </x:c>
      <x:c r="C25" s="11" t="n">
        <x:f>'全题频数'!E597</x:f>
        <x:v>11</x:v>
      </x:c>
      <x:c r="D25" s="11" t="n">
        <x:f>'全题频数'!E598</x:f>
        <x:v>16</x:v>
      </x:c>
      <x:c r="E25" s="11" t="n">
        <x:f>'全题频数'!E599</x:f>
        <x:v>20</x:v>
      </x:c>
      <x:c r="F25" s="11" t="n">
        <x:f>SUM(C25:E25)</x:f>
        <x:v>47</x:v>
      </x:c>
      <x:c r="G25" s="11" t="n">
        <x:v>162</x:v>
      </x:c>
      <x:c r="H25" s="12" t="n">
        <x:f>C25/G25</x:f>
        <x:v>0.06790123456790123</x:v>
      </x:c>
      <x:c r="I25" s="12" t="n">
        <x:f>F25/G25</x:f>
        <x:v>0.29012345679012347</x:v>
      </x:c>
      <x:c r="J25" s="11" t="n">
        <x:f>3*C25+2*D25+E25</x:f>
        <x:v>85</x:v>
      </x:c>
      <x:c r="K25" s="11" t="n">
        <x:f>1+COUNTIFS($C$20:$C$26,"&gt;"&amp;C25)</x:f>
        <x:v>5</x:v>
      </x:c>
      <x:c r="L25" s="11" t="n">
        <x:f>1+COUNTIFS($F$20:$F$26,"&gt;"&amp;F25)</x:f>
        <x:v>5</x:v>
      </x:c>
    </x:row>
    <x:row r="26" ht="30" customHeight="1">
      <x:c r="A26" s="2" t="str">
        <x:v>Q38</x:v>
      </x:c>
      <x:c r="B26" s="13" t="str">
        <x:v>薪酬激励政策</x:v>
      </x:c>
      <x:c r="C26" s="11" t="n">
        <x:f>'全题频数'!E601</x:f>
        <x:v>13</x:v>
      </x:c>
      <x:c r="D26" s="11" t="n">
        <x:f>'全题频数'!E602</x:f>
        <x:v>20</x:v>
      </x:c>
      <x:c r="E26" s="11" t="n">
        <x:f>'全题频数'!E603</x:f>
        <x:v>27</x:v>
      </x:c>
      <x:c r="F26" s="11" t="n">
        <x:f>SUM(C26:E26)</x:f>
        <x:v>60</x:v>
      </x:c>
      <x:c r="G26" s="11" t="n">
        <x:v>162</x:v>
      </x:c>
      <x:c r="H26" s="12" t="n">
        <x:f>C26/G26</x:f>
        <x:v>0.08024691358024691</x:v>
      </x:c>
      <x:c r="I26" s="12" t="n">
        <x:f>F26/G26</x:f>
        <x:v>0.37037037037037035</x:v>
      </x:c>
      <x:c r="J26" s="11" t="n">
        <x:f>3*C26+2*D26+E26</x:f>
        <x:v>106</x:v>
      </x:c>
      <x:c r="K26" s="11" t="n">
        <x:f>1+COUNTIFS($C$20:$C$26,"&gt;"&amp;C26)</x:f>
        <x:v>4</x:v>
      </x:c>
      <x:c r="L26" s="11" t="n">
        <x:f>1+COUNTIFS($F$20:$F$26,"&gt;"&amp;F26)</x:f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e6aa04788bb44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24" hidden="0" customWidth="1"/>
    <x:col min="3" max="3" width="8.5" hidden="0" customWidth="1"/>
    <x:col min="4" max="4" width="8.5" hidden="0" customWidth="1"/>
    <x:col min="5" max="5" width="11" hidden="0" customWidth="1"/>
    <x:col min="6" max="6" width="8.5" hidden="0" customWidth="1"/>
    <x:col min="7" max="7" width="13" hidden="0" customWidth="1"/>
    <x:col min="8" max="8" width="10.5" hidden="0" customWidth="1"/>
    <x:col min="9" max="9" width="10.5" hidden="0" customWidth="1"/>
    <x:col min="10" max="10" width="11" hidden="0" customWidth="1"/>
    <x:col min="11" max="11" width="11" hidden="0" customWidth="1"/>
    <x:col min="12" max="12" width="9.5" hidden="0" customWidth="1"/>
    <x:col min="13" max="13" width="10.5" hidden="0" customWidth="1"/>
    <x:col min="14" max="14" width="11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1" customHeight="1">
      <x:c r="A2" s="4" t="str">
        <x:v>Q11与Q12：字段缺失与数值分布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5" t="str">
        <x:v>合计为未去重的填报计数，不能解释为独立医院或人员总量。Q12同一人持多项资格可以分别计入。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9" t="str">
        <x:v>题号</x:v>
      </x:c>
      <x:c r="B5" s="9" t="str">
        <x:v>人数项目</x:v>
      </x:c>
      <x:c r="C5" s="9" t="str">
        <x:v>有效数</x:v>
      </x:c>
      <x:c r="D5" s="9" t="str">
        <x:v>空白数</x:v>
      </x:c>
      <x:c r="E5" s="9" t="str">
        <x:v>非空无效数</x:v>
      </x:c>
      <x:c r="F5" s="9" t="str">
        <x:v>零值数</x:v>
      </x:c>
      <x:c r="G5" s="9" t="str">
        <x:v>填报计数合计</x:v>
      </x:c>
      <x:c r="H5" s="9" t="str">
        <x:v>均值</x:v>
      </x:c>
      <x:c r="I5" s="9" t="str">
        <x:v>中位数</x:v>
      </x:c>
      <x:c r="J5" s="9" t="str">
        <x:v>第1四分位</x:v>
      </x:c>
      <x:c r="K5" s="9" t="str">
        <x:v>第3四分位</x:v>
      </x:c>
      <x:c r="L5" s="9" t="str">
        <x:v>最小值</x:v>
      </x:c>
      <x:c r="M5" s="9" t="str">
        <x:v>最大值</x:v>
      </x:c>
      <x:c r="N5" s="9" t="str">
        <x:v>有效填报率</x:v>
      </x:c>
    </x:row>
    <x:row r="6" ht="30" customHeight="1">
      <x:c r="A6" s="2" t="str">
        <x:v>Q11</x:v>
      </x:c>
      <x:c r="B6" s="13" t="str">
        <x:v>在岗总人数</x:v>
      </x:c>
      <x:c r="C6" s="11" t="n">
        <x:f>'全题频数'!E74</x:f>
        <x:v>98</x:v>
      </x:c>
      <x:c r="D6" s="11" t="n">
        <x:f>'全题频数'!E75</x:f>
        <x:v>62</x:v>
      </x:c>
      <x:c r="E6" s="11" t="n">
        <x:f>'全题频数'!E76</x:f>
        <x:v>2</x:v>
      </x:c>
      <x:c r="F6" s="11" t="n">
        <x:v>0</x:v>
      </x:c>
      <x:c r="G6" s="11" t="n">
        <x:v>12573</x:v>
      </x:c>
      <x:c r="H6" s="14" t="n">
        <x:f>IF(C6=0,"n.a.",G6/C6)</x:f>
        <x:v>128.29591836734693</x:v>
      </x:c>
      <x:c r="I6" s="14" t="n">
        <x:v>27</x:v>
      </x:c>
      <x:c r="J6" s="14" t="n">
        <x:v>17</x:v>
      </x:c>
      <x:c r="K6" s="14" t="n">
        <x:v>51</x:v>
      </x:c>
      <x:c r="L6" s="11" t="n">
        <x:v>1</x:v>
      </x:c>
      <x:c r="M6" s="11" t="n">
        <x:v>5300</x:v>
      </x:c>
      <x:c r="N6" s="12" t="n">
        <x:f>C6/SUM(C6:E6)</x:f>
        <x:v>0.6049382716049383</x:v>
      </x:c>
    </x:row>
    <x:row r="7" ht="30" customHeight="1">
      <x:c r="A7" s="2" t="str">
        <x:v>Q11</x:v>
      </x:c>
      <x:c r="B7" s="13" t="str">
        <x:v>学历：博士</x:v>
      </x:c>
      <x:c r="C7" s="11" t="n">
        <x:f>'全题频数'!E77</x:f>
        <x:v>92</x:v>
      </x:c>
      <x:c r="D7" s="11" t="n">
        <x:f>'全题频数'!E78</x:f>
        <x:v>67</x:v>
      </x:c>
      <x:c r="E7" s="11" t="n">
        <x:f>'全题频数'!E79</x:f>
        <x:v>3</x:v>
      </x:c>
      <x:c r="F7" s="11" t="n">
        <x:v>83</x:v>
      </x:c>
      <x:c r="G7" s="11" t="n">
        <x:v>523</x:v>
      </x:c>
      <x:c r="H7" s="14" t="n">
        <x:f>IF(C7=0,"n.a.",G7/C7)</x:f>
        <x:v>5.684782608695652</x:v>
      </x:c>
      <x:c r="I7" s="14" t="n">
        <x:v>0</x:v>
      </x:c>
      <x:c r="J7" s="14" t="n">
        <x:v>0</x:v>
      </x:c>
      <x:c r="K7" s="14" t="n">
        <x:v>0</x:v>
      </x:c>
      <x:c r="L7" s="11" t="n">
        <x:v>0</x:v>
      </x:c>
      <x:c r="M7" s="11" t="n">
        <x:v>500</x:v>
      </x:c>
      <x:c r="N7" s="12" t="n">
        <x:f>C7/SUM(C7:E7)</x:f>
        <x:v>0.5679012345679012</x:v>
      </x:c>
    </x:row>
    <x:row r="8" ht="30" customHeight="1">
      <x:c r="A8" s="2" t="str">
        <x:v>Q11</x:v>
      </x:c>
      <x:c r="B8" s="13" t="str">
        <x:v>学历：硕士</x:v>
      </x:c>
      <x:c r="C8" s="11" t="n">
        <x:f>'全题频数'!E80</x:f>
        <x:v>90</x:v>
      </x:c>
      <x:c r="D8" s="11" t="n">
        <x:f>'全题频数'!E81</x:f>
        <x:v>70</x:v>
      </x:c>
      <x:c r="E8" s="11" t="n">
        <x:f>'全题频数'!E82</x:f>
        <x:v>2</x:v>
      </x:c>
      <x:c r="F8" s="11" t="n">
        <x:v>14</x:v>
      </x:c>
      <x:c r="G8" s="11" t="n">
        <x:v>1909</x:v>
      </x:c>
      <x:c r="H8" s="14" t="n">
        <x:f>IF(C8=0,"n.a.",G8/C8)</x:f>
        <x:v>21.211111111111112</x:v>
      </x:c>
      <x:c r="I8" s="14" t="n">
        <x:v>4.5</x:v>
      </x:c>
      <x:c r="J8" s="14" t="n">
        <x:v>1</x:v>
      </x:c>
      <x:c r="K8" s="14" t="n">
        <x:v>9</x:v>
      </x:c>
      <x:c r="L8" s="11" t="n">
        <x:v>0</x:v>
      </x:c>
      <x:c r="M8" s="11" t="n">
        <x:v>1300</x:v>
      </x:c>
      <x:c r="N8" s="12" t="n">
        <x:f>C8/SUM(C8:E8)</x:f>
        <x:v>0.5555555555555556</x:v>
      </x:c>
    </x:row>
    <x:row r="9" ht="30" customHeight="1">
      <x:c r="A9" s="2" t="str">
        <x:v>Q11</x:v>
      </x:c>
      <x:c r="B9" s="13" t="str">
        <x:v>学历：本科</x:v>
      </x:c>
      <x:c r="C9" s="11" t="n">
        <x:f>'全题频数'!E83</x:f>
        <x:v>91</x:v>
      </x:c>
      <x:c r="D9" s="11" t="n">
        <x:f>'全题频数'!E84</x:f>
        <x:v>69</x:v>
      </x:c>
      <x:c r="E9" s="11" t="n">
        <x:f>'全题频数'!E85</x:f>
        <x:v>2</x:v>
      </x:c>
      <x:c r="F9" s="11" t="n">
        <x:v>0</x:v>
      </x:c>
      <x:c r="G9" s="11" t="n">
        <x:v>5992</x:v>
      </x:c>
      <x:c r="H9" s="14" t="n">
        <x:f>IF(C9=0,"n.a.",G9/C9)</x:f>
        <x:v>65.84615384615384</x:v>
      </x:c>
      <x:c r="I9" s="14" t="n">
        <x:v>18</x:v>
      </x:c>
      <x:c r="J9" s="14" t="n">
        <x:v>12</x:v>
      </x:c>
      <x:c r="K9" s="14" t="n">
        <x:v>33.5</x:v>
      </x:c>
      <x:c r="L9" s="11" t="n">
        <x:v>1</x:v>
      </x:c>
      <x:c r="M9" s="11" t="n">
        <x:v>2500</x:v>
      </x:c>
      <x:c r="N9" s="12" t="n">
        <x:f>C9/SUM(C9:E9)</x:f>
        <x:v>0.5617283950617284</x:v>
      </x:c>
    </x:row>
    <x:row r="10" ht="30" customHeight="1">
      <x:c r="A10" s="2" t="str">
        <x:v>Q11</x:v>
      </x:c>
      <x:c r="B10" s="13" t="str">
        <x:v>学历：大专及以下</x:v>
      </x:c>
      <x:c r="C10" s="11" t="n">
        <x:f>'全题频数'!E86</x:f>
        <x:v>88</x:v>
      </x:c>
      <x:c r="D10" s="11" t="n">
        <x:f>'全题频数'!E87</x:f>
        <x:v>72</x:v>
      </x:c>
      <x:c r="E10" s="11" t="n">
        <x:f>'全题频数'!E88</x:f>
        <x:v>2</x:v>
      </x:c>
      <x:c r="F10" s="11" t="n">
        <x:v>26</x:v>
      </x:c>
      <x:c r="G10" s="11" t="n">
        <x:v>1672</x:v>
      </x:c>
      <x:c r="H10" s="14" t="n">
        <x:f>IF(C10=0,"n.a.",G10/C10)</x:f>
        <x:v>19</x:v>
      </x:c>
      <x:c r="I10" s="14" t="n">
        <x:v>2</x:v>
      </x:c>
      <x:c r="J10" s="14" t="n">
        <x:v>0</x:v>
      </x:c>
      <x:c r="K10" s="14" t="n">
        <x:v>6.25</x:v>
      </x:c>
      <x:c r="L10" s="11" t="n">
        <x:v>0</x:v>
      </x:c>
      <x:c r="M10" s="11" t="n">
        <x:v>1000</x:v>
      </x:c>
      <x:c r="N10" s="12" t="n">
        <x:f>C10/SUM(C10:E10)</x:f>
        <x:v>0.5432098765432098</x:v>
      </x:c>
    </x:row>
    <x:row r="11" ht="30" customHeight="1">
      <x:c r="A11" s="2" t="str">
        <x:v>Q11</x:v>
      </x:c>
      <x:c r="B11" s="13" t="str">
        <x:v>职称：正高级</x:v>
      </x:c>
      <x:c r="C11" s="11" t="n">
        <x:f>'全题频数'!E89</x:f>
        <x:v>90</x:v>
      </x:c>
      <x:c r="D11" s="11" t="n">
        <x:f>'全题频数'!E90</x:f>
        <x:v>70</x:v>
      </x:c>
      <x:c r="E11" s="11" t="n">
        <x:f>'全题频数'!E91</x:f>
        <x:v>2</x:v>
      </x:c>
      <x:c r="F11" s="11" t="n">
        <x:v>38</x:v>
      </x:c>
      <x:c r="G11" s="11" t="n">
        <x:v>479</x:v>
      </x:c>
      <x:c r="H11" s="14" t="n">
        <x:f>IF(C11=0,"n.a.",G11/C11)</x:f>
        <x:v>5.322222222222222</x:v>
      </x:c>
      <x:c r="I11" s="14" t="n">
        <x:v>1</x:v>
      </x:c>
      <x:c r="J11" s="14" t="n">
        <x:v>0</x:v>
      </x:c>
      <x:c r="K11" s="14" t="n">
        <x:v>2</x:v>
      </x:c>
      <x:c r="L11" s="11" t="n">
        <x:v>0</x:v>
      </x:c>
      <x:c r="M11" s="11" t="n">
        <x:v>300</x:v>
      </x:c>
      <x:c r="N11" s="12" t="n">
        <x:f>C11/SUM(C11:E11)</x:f>
        <x:v>0.5555555555555556</x:v>
      </x:c>
    </x:row>
    <x:row r="12" ht="30" customHeight="1">
      <x:c r="A12" s="2" t="str">
        <x:v>Q11</x:v>
      </x:c>
      <x:c r="B12" s="13" t="str">
        <x:v>职称：副高级</x:v>
      </x:c>
      <x:c r="C12" s="11" t="n">
        <x:f>'全题频数'!E92</x:f>
        <x:v>91</x:v>
      </x:c>
      <x:c r="D12" s="11" t="n">
        <x:f>'全题频数'!E93</x:f>
        <x:v>69</x:v>
      </x:c>
      <x:c r="E12" s="11" t="n">
        <x:f>'全题频数'!E94</x:f>
        <x:v>2</x:v>
      </x:c>
      <x:c r="F12" s="11" t="n">
        <x:v>4</x:v>
      </x:c>
      <x:c r="G12" s="11" t="n">
        <x:v>1544</x:v>
      </x:c>
      <x:c r="H12" s="14" t="n">
        <x:f>IF(C12=0,"n.a.",G12/C12)</x:f>
        <x:v>16.967032967032967</x:v>
      </x:c>
      <x:c r="I12" s="14" t="n">
        <x:v>3</x:v>
      </x:c>
      <x:c r="J12" s="14" t="n">
        <x:v>2</x:v>
      </x:c>
      <x:c r="K12" s="14" t="n">
        <x:v>7</x:v>
      </x:c>
      <x:c r="L12" s="11" t="n">
        <x:v>0</x:v>
      </x:c>
      <x:c r="M12" s="11" t="n">
        <x:v>800</x:v>
      </x:c>
      <x:c r="N12" s="12" t="n">
        <x:f>C12/SUM(C12:E12)</x:f>
        <x:v>0.5617283950617284</x:v>
      </x:c>
    </x:row>
    <x:row r="13" ht="30" customHeight="1">
      <x:c r="A13" s="2" t="str">
        <x:v>Q11</x:v>
      </x:c>
      <x:c r="B13" s="13" t="str">
        <x:v>职称：中级</x:v>
      </x:c>
      <x:c r="C13" s="11" t="n">
        <x:f>'全题频数'!E95</x:f>
        <x:v>88</x:v>
      </x:c>
      <x:c r="D13" s="11" t="n">
        <x:f>'全题频数'!E96</x:f>
        <x:v>72</x:v>
      </x:c>
      <x:c r="E13" s="11" t="n">
        <x:f>'全题频数'!E97</x:f>
        <x:v>2</x:v>
      </x:c>
      <x:c r="F13" s="11" t="n">
        <x:v>0</x:v>
      </x:c>
      <x:c r="G13" s="11" t="n">
        <x:v>3086</x:v>
      </x:c>
      <x:c r="H13" s="14" t="n">
        <x:f>IF(C13=0,"n.a.",G13/C13)</x:f>
        <x:v>35.06818181818182</x:v>
      </x:c>
      <x:c r="I13" s="14" t="n">
        <x:v>10</x:v>
      </x:c>
      <x:c r="J13" s="14" t="n">
        <x:v>5</x:v>
      </x:c>
      <x:c r="K13" s="14" t="n">
        <x:v>18</x:v>
      </x:c>
      <x:c r="L13" s="11" t="n">
        <x:v>1</x:v>
      </x:c>
      <x:c r="M13" s="11" t="n">
        <x:v>1500</x:v>
      </x:c>
      <x:c r="N13" s="12" t="n">
        <x:f>C13/SUM(C13:E13)</x:f>
        <x:v>0.5432098765432098</x:v>
      </x:c>
    </x:row>
    <x:row r="14" ht="30" customHeight="1">
      <x:c r="A14" s="2" t="str">
        <x:v>Q11</x:v>
      </x:c>
      <x:c r="B14" s="13" t="str">
        <x:v>职称：初级及以下</x:v>
      </x:c>
      <x:c r="C14" s="11" t="n">
        <x:f>'全题频数'!E98</x:f>
        <x:v>89</x:v>
      </x:c>
      <x:c r="D14" s="11" t="n">
        <x:f>'全题频数'!E99</x:f>
        <x:v>71</x:v>
      </x:c>
      <x:c r="E14" s="11" t="n">
        <x:f>'全题频数'!E100</x:f>
        <x:v>2</x:v>
      </x:c>
      <x:c r="F14" s="11" t="n">
        <x:v>4</x:v>
      </x:c>
      <x:c r="G14" s="11" t="n">
        <x:v>4117</x:v>
      </x:c>
      <x:c r="H14" s="14" t="n">
        <x:f>IF(C14=0,"n.a.",G14/C14)</x:f>
        <x:v>46.258426966292134</x:v>
      </x:c>
      <x:c r="I14" s="14" t="n">
        <x:v>9</x:v>
      </x:c>
      <x:c r="J14" s="14" t="n">
        <x:v>5</x:v>
      </x:c>
      <x:c r="K14" s="14" t="n">
        <x:v>17</x:v>
      </x:c>
      <x:c r="L14" s="11" t="n">
        <x:v>0</x:v>
      </x:c>
      <x:c r="M14" s="11" t="n">
        <x:v>2700</x:v>
      </x:c>
      <x:c r="N14" s="12" t="n">
        <x:f>C14/SUM(C14:E14)</x:f>
        <x:v>0.5493827160493827</x:v>
      </x:c>
    </x:row>
    <x:row r="15" ht="30" customHeight="1">
      <x:c r="A15" s="2" t="str">
        <x:v>Q11</x:v>
      </x:c>
      <x:c r="B15" s="13" t="str">
        <x:v>专业：财会审计类</x:v>
      </x:c>
      <x:c r="C15" s="11" t="n">
        <x:f>'全题频数'!E101</x:f>
        <x:v>91</x:v>
      </x:c>
      <x:c r="D15" s="11" t="n">
        <x:f>'全题频数'!E102</x:f>
        <x:v>69</x:v>
      </x:c>
      <x:c r="E15" s="11" t="n">
        <x:f>'全题频数'!E103</x:f>
        <x:v>2</x:v>
      </x:c>
      <x:c r="F15" s="11" t="n">
        <x:v>0</x:v>
      </x:c>
      <x:c r="G15" s="11" t="n">
        <x:v>1985</x:v>
      </x:c>
      <x:c r="H15" s="14" t="n">
        <x:f>IF(C15=0,"n.a.",G15/C15)</x:f>
        <x:v>21.813186813186814</x:v>
      </x:c>
      <x:c r="I15" s="14" t="n">
        <x:v>17</x:v>
      </x:c>
      <x:c r="J15" s="14" t="n">
        <x:v>11.5</x:v>
      </x:c>
      <x:c r="K15" s="14" t="n">
        <x:v>28</x:v>
      </x:c>
      <x:c r="L15" s="11" t="n">
        <x:v>1</x:v>
      </x:c>
      <x:c r="M15" s="11" t="n">
        <x:v>100</x:v>
      </x:c>
      <x:c r="N15" s="12" t="n">
        <x:f>C15/SUM(C15:E15)</x:f>
        <x:v>0.5617283950617284</x:v>
      </x:c>
    </x:row>
    <x:row r="16" ht="30" customHeight="1">
      <x:c r="A16" s="2" t="str">
        <x:v>Q11</x:v>
      </x:c>
      <x:c r="B16" s="13" t="str">
        <x:v>专业：医疗/护理类</x:v>
      </x:c>
      <x:c r="C16" s="11" t="n">
        <x:f>'全题频数'!E104</x:f>
        <x:v>85</x:v>
      </x:c>
      <x:c r="D16" s="11" t="n">
        <x:f>'全题频数'!E105</x:f>
        <x:v>75</x:v>
      </x:c>
      <x:c r="E16" s="11" t="n">
        <x:f>'全题频数'!E106</x:f>
        <x:v>2</x:v>
      </x:c>
      <x:c r="F16" s="11" t="n">
        <x:v>34</x:v>
      </x:c>
      <x:c r="G16" s="11" t="n">
        <x:v>5495</x:v>
      </x:c>
      <x:c r="H16" s="14" t="n">
        <x:f>IF(C16=0,"n.a.",G16/C16)</x:f>
        <x:v>64.6470588235294</x:v>
      </x:c>
      <x:c r="I16" s="14" t="n">
        <x:v>1</x:v>
      </x:c>
      <x:c r="J16" s="14" t="n">
        <x:v>0</x:v>
      </x:c>
      <x:c r="K16" s="14" t="n">
        <x:v>3</x:v>
      </x:c>
      <x:c r="L16" s="11" t="n">
        <x:v>0</x:v>
      </x:c>
      <x:c r="M16" s="11" t="n">
        <x:v>4100</x:v>
      </x:c>
      <x:c r="N16" s="12" t="n">
        <x:f>C16/SUM(C16:E16)</x:f>
        <x:v>0.5246913580246914</x:v>
      </x:c>
    </x:row>
    <x:row r="17" ht="30" customHeight="1">
      <x:c r="A17" s="2" t="str">
        <x:v>Q11</x:v>
      </x:c>
      <x:c r="B17" s="13" t="str">
        <x:v>专业：卫生管理类</x:v>
      </x:c>
      <x:c r="C17" s="11" t="n">
        <x:f>'全题频数'!E107</x:f>
        <x:v>84</x:v>
      </x:c>
      <x:c r="D17" s="11" t="n">
        <x:f>'全题频数'!E108</x:f>
        <x:v>76</x:v>
      </x:c>
      <x:c r="E17" s="11" t="n">
        <x:f>'全题频数'!E109</x:f>
        <x:v>2</x:v>
      </x:c>
      <x:c r="F17" s="11" t="n">
        <x:v>51</x:v>
      </x:c>
      <x:c r="G17" s="11" t="n">
        <x:v>602</x:v>
      </x:c>
      <x:c r="H17" s="14" t="n">
        <x:f>IF(C17=0,"n.a.",G17/C17)</x:f>
        <x:v>7.166666666666667</x:v>
      </x:c>
      <x:c r="I17" s="14" t="n">
        <x:v>0</x:v>
      </x:c>
      <x:c r="J17" s="14" t="n">
        <x:v>0</x:v>
      </x:c>
      <x:c r="K17" s="14" t="n">
        <x:v>3</x:v>
      </x:c>
      <x:c r="L17" s="11" t="n">
        <x:v>0</x:v>
      </x:c>
      <x:c r="M17" s="11" t="n">
        <x:v>300</x:v>
      </x:c>
      <x:c r="N17" s="12" t="n">
        <x:f>C17/SUM(C17:E17)</x:f>
        <x:v>0.5185185185185185</x:v>
      </x:c>
    </x:row>
    <x:row r="18" ht="30" customHeight="1">
      <x:c r="A18" s="2" t="str">
        <x:v>Q11</x:v>
      </x:c>
      <x:c r="B18" s="13" t="str">
        <x:v>专业：信息技术类</x:v>
      </x:c>
      <x:c r="C18" s="11" t="n">
        <x:f>'全题频数'!E110</x:f>
        <x:v>84</x:v>
      </x:c>
      <x:c r="D18" s="11" t="n">
        <x:f>'全题频数'!E111</x:f>
        <x:v>76</x:v>
      </x:c>
      <x:c r="E18" s="11" t="n">
        <x:f>'全题频数'!E112</x:f>
        <x:v>2</x:v>
      </x:c>
      <x:c r="F18" s="11" t="n">
        <x:v>47</x:v>
      </x:c>
      <x:c r="G18" s="11" t="n">
        <x:v>294</x:v>
      </x:c>
      <x:c r="H18" s="14" t="n">
        <x:f>IF(C18=0,"n.a.",G18/C18)</x:f>
        <x:v>3.5</x:v>
      </x:c>
      <x:c r="I18" s="14" t="n">
        <x:v>0</x:v>
      </x:c>
      <x:c r="J18" s="14" t="n">
        <x:v>0</x:v>
      </x:c>
      <x:c r="K18" s="14" t="n">
        <x:v>1</x:v>
      </x:c>
      <x:c r="L18" s="11" t="n">
        <x:v>0</x:v>
      </x:c>
      <x:c r="M18" s="11" t="n">
        <x:v>200</x:v>
      </x:c>
      <x:c r="N18" s="12" t="n">
        <x:f>C18/SUM(C18:E18)</x:f>
        <x:v>0.5185185185185185</x:v>
      </x:c>
    </x:row>
    <x:row r="19" ht="30" customHeight="1">
      <x:c r="A19" s="2" t="str">
        <x:v>Q11</x:v>
      </x:c>
      <x:c r="B19" s="13" t="str">
        <x:v>专业：经济金融类</x:v>
      </x:c>
      <x:c r="C19" s="11" t="n">
        <x:f>'全题频数'!E113</x:f>
        <x:v>84</x:v>
      </x:c>
      <x:c r="D19" s="11" t="n">
        <x:f>'全题频数'!E114</x:f>
        <x:v>76</x:v>
      </x:c>
      <x:c r="E19" s="11" t="n">
        <x:f>'全题频数'!E115</x:f>
        <x:v>2</x:v>
      </x:c>
      <x:c r="F19" s="11" t="n">
        <x:v>45</x:v>
      </x:c>
      <x:c r="G19" s="11" t="n">
        <x:v>193</x:v>
      </x:c>
      <x:c r="H19" s="14" t="n">
        <x:f>IF(C19=0,"n.a.",G19/C19)</x:f>
        <x:v>2.2976190476190474</x:v>
      </x:c>
      <x:c r="I19" s="14" t="n">
        <x:v>0</x:v>
      </x:c>
      <x:c r="J19" s="14" t="n">
        <x:v>0</x:v>
      </x:c>
      <x:c r="K19" s="14" t="n">
        <x:v>2</x:v>
      </x:c>
      <x:c r="L19" s="11" t="n">
        <x:v>0</x:v>
      </x:c>
      <x:c r="M19" s="11" t="n">
        <x:v>50</x:v>
      </x:c>
      <x:c r="N19" s="12" t="n">
        <x:f>C19/SUM(C19:E19)</x:f>
        <x:v>0.5185185185185185</x:v>
      </x:c>
    </x:row>
    <x:row r="20" ht="30" customHeight="1">
      <x:c r="A20" s="2" t="str">
        <x:v>Q11</x:v>
      </x:c>
      <x:c r="B20" s="13" t="str">
        <x:v>专业：其他</x:v>
      </x:c>
      <x:c r="C20" s="11" t="n">
        <x:f>'全题频数'!E116</x:f>
        <x:v>82</x:v>
      </x:c>
      <x:c r="D20" s="11" t="n">
        <x:f>'全题频数'!E117</x:f>
        <x:v>78</x:v>
      </x:c>
      <x:c r="E20" s="11" t="n">
        <x:f>'全题频数'!E118</x:f>
        <x:v>2</x:v>
      </x:c>
      <x:c r="F20" s="11" t="n">
        <x:v>45</x:v>
      </x:c>
      <x:c r="G20" s="11" t="n">
        <x:v>944</x:v>
      </x:c>
      <x:c r="H20" s="14" t="n">
        <x:f>IF(C20=0,"n.a.",G20/C20)</x:f>
        <x:v>11.512195121951219</x:v>
      </x:c>
      <x:c r="I20" s="14" t="n">
        <x:v>0</x:v>
      </x:c>
      <x:c r="J20" s="14" t="n">
        <x:v>0</x:v>
      </x:c>
      <x:c r="K20" s="14" t="n">
        <x:v>2</x:v>
      </x:c>
      <x:c r="L20" s="11" t="n">
        <x:v>0</x:v>
      </x:c>
      <x:c r="M20" s="11" t="n">
        <x:v>500</x:v>
      </x:c>
      <x:c r="N20" s="12" t="n">
        <x:f>C20/SUM(C20:E20)</x:f>
        <x:v>0.5061728395061729</x:v>
      </x:c>
    </x:row>
    <x:row r="21" ht="30" customHeight="1">
      <x:c r="A21" s="2" t="str">
        <x:v>Q12</x:v>
      </x:c>
      <x:c r="B21" s="13" t="str">
        <x:v>正高级专业技术资格</x:v>
      </x:c>
      <x:c r="C21" s="11" t="n">
        <x:f>'全题频数'!E119</x:f>
        <x:v>92</x:v>
      </x:c>
      <x:c r="D21" s="11" t="n">
        <x:f>'全题频数'!E120</x:f>
        <x:v>68</x:v>
      </x:c>
      <x:c r="E21" s="11" t="n">
        <x:f>'全题频数'!E121</x:f>
        <x:v>2</x:v>
      </x:c>
      <x:c r="F21" s="11" t="n">
        <x:v>45</x:v>
      </x:c>
      <x:c r="G21" s="11" t="n">
        <x:v>99</x:v>
      </x:c>
      <x:c r="H21" s="14" t="n">
        <x:f>IF(C21=0,"n.a.",G21/C21)</x:f>
        <x:v>1.076086956521739</x:v>
      </x:c>
      <x:c r="I21" s="14" t="n">
        <x:v>1</x:v>
      </x:c>
      <x:c r="J21" s="14" t="n">
        <x:v>0</x:v>
      </x:c>
      <x:c r="K21" s="14" t="n">
        <x:v>2</x:v>
      </x:c>
      <x:c r="L21" s="11" t="n">
        <x:v>0</x:v>
      </x:c>
      <x:c r="M21" s="11" t="n">
        <x:v>5</x:v>
      </x:c>
      <x:c r="N21" s="12" t="n">
        <x:f>C21/SUM(C21:E21)</x:f>
        <x:v>0.5679012345679012</x:v>
      </x:c>
    </x:row>
    <x:row r="22" ht="30" customHeight="1">
      <x:c r="A22" s="2" t="str">
        <x:v>Q12</x:v>
      </x:c>
      <x:c r="B22" s="13" t="str">
        <x:v>副高级专业技术资格</x:v>
      </x:c>
      <x:c r="C22" s="11" t="n">
        <x:f>'全题频数'!E122</x:f>
        <x:v>93</x:v>
      </x:c>
      <x:c r="D22" s="11" t="n">
        <x:f>'全题频数'!E123</x:f>
        <x:v>66</x:v>
      </x:c>
      <x:c r="E22" s="11" t="n">
        <x:f>'全题频数'!E124</x:f>
        <x:v>3</x:v>
      </x:c>
      <x:c r="F22" s="11" t="n">
        <x:v>10</x:v>
      </x:c>
      <x:c r="G22" s="11" t="n">
        <x:v>329</x:v>
      </x:c>
      <x:c r="H22" s="14" t="n">
        <x:f>IF(C22=0,"n.a.",G22/C22)</x:f>
        <x:v>3.5376344086021505</x:v>
      </x:c>
      <x:c r="I22" s="14" t="n">
        <x:v>2</x:v>
      </x:c>
      <x:c r="J22" s="14" t="n">
        <x:v>1</x:v>
      </x:c>
      <x:c r="K22" s="14" t="n">
        <x:v>6</x:v>
      </x:c>
      <x:c r="L22" s="11" t="n">
        <x:v>0</x:v>
      </x:c>
      <x:c r="M22" s="11" t="n">
        <x:v>21</x:v>
      </x:c>
      <x:c r="N22" s="12" t="n">
        <x:f>C22/SUM(C22:E22)</x:f>
        <x:v>0.5740740740740741</x:v>
      </x:c>
    </x:row>
    <x:row r="23" ht="30" customHeight="1">
      <x:c r="A23" s="2" t="str">
        <x:v>Q12</x:v>
      </x:c>
      <x:c r="B23" s="13" t="str">
        <x:v>中级专业技术资格</x:v>
      </x:c>
      <x:c r="C23" s="11" t="n">
        <x:f>'全题频数'!E125</x:f>
        <x:v>89</x:v>
      </x:c>
      <x:c r="D23" s="11" t="n">
        <x:f>'全题频数'!E126</x:f>
        <x:v>71</x:v>
      </x:c>
      <x:c r="E23" s="11" t="n">
        <x:f>'全题频数'!E127</x:f>
        <x:v>2</x:v>
      </x:c>
      <x:c r="F23" s="11" t="n">
        <x:v>4</x:v>
      </x:c>
      <x:c r="G23" s="11" t="n">
        <x:v>799</x:v>
      </x:c>
      <x:c r="H23" s="14" t="n">
        <x:f>IF(C23=0,"n.a.",G23/C23)</x:f>
        <x:v>8.97752808988764</x:v>
      </x:c>
      <x:c r="I23" s="14" t="n">
        <x:v>6</x:v>
      </x:c>
      <x:c r="J23" s="14" t="n">
        <x:v>3</x:v>
      </x:c>
      <x:c r="K23" s="14" t="n">
        <x:v>12</x:v>
      </x:c>
      <x:c r="L23" s="11" t="n">
        <x:v>0</x:v>
      </x:c>
      <x:c r="M23" s="11" t="n">
        <x:v>36</x:v>
      </x:c>
      <x:c r="N23" s="12" t="n">
        <x:f>C23/SUM(C23:E23)</x:f>
        <x:v>0.5493827160493827</x:v>
      </x:c>
    </x:row>
    <x:row r="24" ht="30" customHeight="1">
      <x:c r="A24" s="2" t="str">
        <x:v>Q12</x:v>
      </x:c>
      <x:c r="B24" s="13" t="str">
        <x:v>初级及以下专业技术资格</x:v>
      </x:c>
      <x:c r="C24" s="11" t="n">
        <x:f>'全题频数'!E128</x:f>
        <x:v>89</x:v>
      </x:c>
      <x:c r="D24" s="11" t="n">
        <x:f>'全题频数'!E129</x:f>
        <x:v>71</x:v>
      </x:c>
      <x:c r="E24" s="11" t="n">
        <x:f>'全题频数'!E130</x:f>
        <x:v>2</x:v>
      </x:c>
      <x:c r="F24" s="11" t="n">
        <x:v>11</x:v>
      </x:c>
      <x:c r="G24" s="11" t="n">
        <x:v>971</x:v>
      </x:c>
      <x:c r="H24" s="14" t="n">
        <x:f>IF(C24=0,"n.a.",G24/C24)</x:f>
        <x:v>10.910112359550562</x:v>
      </x:c>
      <x:c r="I24" s="14" t="n">
        <x:v>7</x:v>
      </x:c>
      <x:c r="J24" s="14" t="n">
        <x:v>3</x:v>
      </x:c>
      <x:c r="K24" s="14" t="n">
        <x:v>15</x:v>
      </x:c>
      <x:c r="L24" s="11" t="n">
        <x:v>0</x:v>
      </x:c>
      <x:c r="M24" s="11" t="n">
        <x:v>44</x:v>
      </x:c>
      <x:c r="N24" s="12" t="n">
        <x:f>C24/SUM(C24:E24)</x:f>
        <x:v>0.5493827160493827</x:v>
      </x:c>
    </x:row>
    <x:row r="25" ht="30" customHeight="1">
      <x:c r="A25" s="2" t="str">
        <x:v>Q12</x:v>
      </x:c>
      <x:c r="B25" s="13" t="str">
        <x:v>注册会计师 CPA</x:v>
      </x:c>
      <x:c r="C25" s="11" t="n">
        <x:f>'全题频数'!E131</x:f>
        <x:v>87</x:v>
      </x:c>
      <x:c r="D25" s="11" t="n">
        <x:f>'全题频数'!E132</x:f>
        <x:v>73</x:v>
      </x:c>
      <x:c r="E25" s="11" t="n">
        <x:f>'全题频数'!E133</x:f>
        <x:v>2</x:v>
      </x:c>
      <x:c r="F25" s="11" t="n">
        <x:v>43</x:v>
      </x:c>
      <x:c r="G25" s="11" t="n">
        <x:v>91</x:v>
      </x:c>
      <x:c r="H25" s="14" t="n">
        <x:f>IF(C25=0,"n.a.",G25/C25)</x:f>
        <x:v>1.0459770114942528</x:v>
      </x:c>
      <x:c r="I25" s="14" t="n">
        <x:v>1</x:v>
      </x:c>
      <x:c r="J25" s="14" t="n">
        <x:v>0</x:v>
      </x:c>
      <x:c r="K25" s="14" t="n">
        <x:v>1.5</x:v>
      </x:c>
      <x:c r="L25" s="11" t="n">
        <x:v>0</x:v>
      </x:c>
      <x:c r="M25" s="11" t="n">
        <x:v>5</x:v>
      </x:c>
      <x:c r="N25" s="12" t="n">
        <x:f>C25/SUM(C25:E25)</x:f>
        <x:v>0.5370370370370371</x:v>
      </x:c>
    </x:row>
    <x:row r="26" ht="30" customHeight="1">
      <x:c r="A26" s="2" t="str">
        <x:v>Q12</x:v>
      </x:c>
      <x:c r="B26" s="13" t="str">
        <x:v>管理会计师 CMA</x:v>
      </x:c>
      <x:c r="C26" s="11" t="n">
        <x:f>'全题频数'!E134</x:f>
        <x:v>82</x:v>
      </x:c>
      <x:c r="D26" s="11" t="n">
        <x:f>'全题频数'!E135</x:f>
        <x:v>78</x:v>
      </x:c>
      <x:c r="E26" s="11" t="n">
        <x:f>'全题频数'!E136</x:f>
        <x:v>2</x:v>
      </x:c>
      <x:c r="F26" s="11" t="n">
        <x:v>66</x:v>
      </x:c>
      <x:c r="G26" s="11" t="n">
        <x:v>32</x:v>
      </x:c>
      <x:c r="H26" s="14" t="n">
        <x:f>IF(C26=0,"n.a.",G26/C26)</x:f>
        <x:v>0.3902439024390244</x:v>
      </x:c>
      <x:c r="I26" s="14" t="n">
        <x:v>0</x:v>
      </x:c>
      <x:c r="J26" s="14" t="n">
        <x:v>0</x:v>
      </x:c>
      <x:c r="K26" s="14" t="n">
        <x:v>0</x:v>
      </x:c>
      <x:c r="L26" s="11" t="n">
        <x:v>0</x:v>
      </x:c>
      <x:c r="M26" s="11" t="n">
        <x:v>13</x:v>
      </x:c>
      <x:c r="N26" s="12" t="n">
        <x:f>C26/SUM(C26:E26)</x:f>
        <x:v>0.5061728395061729</x:v>
      </x:c>
    </x:row>
  </x:sheetData>
  <x:pageMargins left="0.7" right="0.7" top="0.75" bottom="0.75" header="0.3" footer="0.3"/>
  <x:tableParts count="1">
    <x:tablePart xmlns:r="http://schemas.openxmlformats.org/officeDocument/2006/relationships" r:id="Rfdd0b8c791b94d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9.5" hidden="0" customWidth="1"/>
    <x:col min="5" max="5" width="9.5" hidden="0" customWidth="1"/>
    <x:col min="6" max="6" width="1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1" customHeight="1">
      <x:c r="A2" s="4" t="str">
        <x:v>需求、偏好与已报告供给的交叉分布</x:v>
      </x:c>
      <x:c r="B2" s="4"/>
      <x:c r="C2" s="4"/>
      <x:c r="D2" s="4"/>
      <x:c r="E2" s="4"/>
      <x:c r="F2" s="4"/>
    </x:row>
    <x:row r="3" ht="24" customHeight="1">
      <x:c r="A3" s="5" t="str">
        <x:v>两组题目概念近似匹配；不能直接解释为客观供给不足，更不能推断培养效果。</x:v>
      </x:c>
      <x:c r="B3" s="5"/>
      <x:c r="C3" s="5"/>
      <x:c r="D3" s="5"/>
      <x:c r="E3" s="5"/>
      <x:c r="F3" s="5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9" t="str">
        <x:v>配对概念</x:v>
      </x:c>
      <x:c r="B5" s="9" t="str">
        <x:v>需求或偏好</x:v>
      </x:c>
      <x:c r="C5" s="9" t="str">
        <x:v>报告现有供给</x:v>
      </x:c>
      <x:c r="D5" s="9" t="str">
        <x:v>人数</x:v>
      </x:c>
      <x:c r="E5" s="9" t="str">
        <x:v>分母</x:v>
      </x:c>
      <x:c r="F5" s="9" t="str">
        <x:v>全样本比例</x:v>
      </x:c>
    </x:row>
    <x:row r="6" ht="30" customHeight="1">
      <x:c r="A6" s="13" t="str">
        <x:v>数智需求与现有数据工具培训</x:v>
      </x:c>
      <x:c r="B6" s="2" t="str">
        <x:v>有</x:v>
      </x:c>
      <x:c r="C6" s="2" t="str">
        <x:v>有</x:v>
      </x:c>
      <x:c r="D6" s="11" t="n">
        <x:v>47</x:v>
      </x:c>
      <x:c r="E6" s="11" t="n">
        <x:v>162</x:v>
      </x:c>
      <x:c r="F6" s="12" t="n">
        <x:f>D6/E6</x:f>
        <x:v>0.29012345679012347</x:v>
      </x:c>
    </x:row>
    <x:row r="7" ht="30" customHeight="1">
      <x:c r="A7" s="13" t="str">
        <x:v>数智需求与现有数据工具培训</x:v>
      </x:c>
      <x:c r="B7" s="2" t="str">
        <x:v>有</x:v>
      </x:c>
      <x:c r="C7" s="2" t="str">
        <x:v>无</x:v>
      </x:c>
      <x:c r="D7" s="11" t="n">
        <x:v>109</x:v>
      </x:c>
      <x:c r="E7" s="11" t="n">
        <x:v>162</x:v>
      </x:c>
      <x:c r="F7" s="12" t="n">
        <x:f>D7/E7</x:f>
        <x:v>0.6728395061728395</x:v>
      </x:c>
    </x:row>
    <x:row r="8" ht="30" customHeight="1">
      <x:c r="A8" s="13" t="str">
        <x:v>数智需求与现有数据工具培训</x:v>
      </x:c>
      <x:c r="B8" s="2" t="str">
        <x:v>无</x:v>
      </x:c>
      <x:c r="C8" s="2" t="str">
        <x:v>有</x:v>
      </x:c>
      <x:c r="D8" s="11" t="n">
        <x:v>2</x:v>
      </x:c>
      <x:c r="E8" s="11" t="n">
        <x:v>162</x:v>
      </x:c>
      <x:c r="F8" s="12" t="n">
        <x:f>D8/E8</x:f>
        <x:v>0.012345679012345678</x:v>
      </x:c>
    </x:row>
    <x:row r="9" ht="30" customHeight="1">
      <x:c r="A9" s="13" t="str">
        <x:v>数智需求与现有数据工具培训</x:v>
      </x:c>
      <x:c r="B9" s="2" t="str">
        <x:v>无</x:v>
      </x:c>
      <x:c r="C9" s="2" t="str">
        <x:v>无</x:v>
      </x:c>
      <x:c r="D9" s="11" t="n">
        <x:v>4</x:v>
      </x:c>
      <x:c r="E9" s="11" t="n">
        <x:v>162</x:v>
      </x:c>
      <x:c r="F9" s="12" t="n">
        <x:f>D9/E9</x:f>
        <x:v>0.024691358024691357</x:v>
      </x:c>
    </x:row>
    <x:row r="10" ht="30" customHeight="1">
      <x:c r="A10" s="13" t="str">
        <x:v>跟岗偏好与已有跟岗轮岗方式</x:v>
      </x:c>
      <x:c r="B10" s="2" t="str">
        <x:v>有</x:v>
      </x:c>
      <x:c r="C10" s="2" t="str">
        <x:v>有</x:v>
      </x:c>
      <x:c r="D10" s="11" t="n">
        <x:v>53</x:v>
      </x:c>
      <x:c r="E10" s="11" t="n">
        <x:v>162</x:v>
      </x:c>
      <x:c r="F10" s="12" t="n">
        <x:f>D10/E10</x:f>
        <x:v>0.3271604938271605</x:v>
      </x:c>
    </x:row>
    <x:row r="11" ht="30" customHeight="1">
      <x:c r="A11" s="13" t="str">
        <x:v>跟岗偏好与已有跟岗轮岗方式</x:v>
      </x:c>
      <x:c r="B11" s="2" t="str">
        <x:v>有</x:v>
      </x:c>
      <x:c r="C11" s="2" t="str">
        <x:v>无</x:v>
      </x:c>
      <x:c r="D11" s="11" t="n">
        <x:v>72</x:v>
      </x:c>
      <x:c r="E11" s="11" t="n">
        <x:v>162</x:v>
      </x:c>
      <x:c r="F11" s="12" t="n">
        <x:f>D11/E11</x:f>
        <x:v>0.4444444444444444</x:v>
      </x:c>
    </x:row>
    <x:row r="12" ht="30" customHeight="1">
      <x:c r="A12" s="13" t="str">
        <x:v>跟岗偏好与已有跟岗轮岗方式</x:v>
      </x:c>
      <x:c r="B12" s="2" t="str">
        <x:v>无</x:v>
      </x:c>
      <x:c r="C12" s="2" t="str">
        <x:v>有</x:v>
      </x:c>
      <x:c r="D12" s="11" t="n">
        <x:v>17</x:v>
      </x:c>
      <x:c r="E12" s="11" t="n">
        <x:v>162</x:v>
      </x:c>
      <x:c r="F12" s="12" t="n">
        <x:f>D12/E12</x:f>
        <x:v>0.10493827160493827</x:v>
      </x:c>
    </x:row>
    <x:row r="13" ht="30" customHeight="1">
      <x:c r="A13" s="13" t="str">
        <x:v>跟岗偏好与已有跟岗轮岗方式</x:v>
      </x:c>
      <x:c r="B13" s="2" t="str">
        <x:v>无</x:v>
      </x:c>
      <x:c r="C13" s="2" t="str">
        <x:v>无</x:v>
      </x:c>
      <x:c r="D13" s="11" t="n">
        <x:v>20</x:v>
      </x:c>
      <x:c r="E13" s="11" t="n">
        <x:v>162</x:v>
      </x:c>
      <x:c r="F13" s="12" t="n">
        <x:f>D13/E13</x:f>
        <x:v>0.12345679012345678</x:v>
      </x:c>
    </x:row>
  </x:sheetData>
  <x:pageMargins left="0.7" right="0.7" top="0.75" bottom="0.75" header="0.3" footer="0.3"/>
  <x:tableParts count="1">
    <x:tablePart xmlns:r="http://schemas.openxmlformats.org/officeDocument/2006/relationships" r:id="R7e3db97ef6b8497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7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10" hidden="0" customWidth="1"/>
    <x:col min="10" max="10" width="10" hidden="0" customWidth="1"/>
    <x:col min="11" max="11" width="10" hidden="0" customWidth="1"/>
    <x:col min="12" max="12" width="11.5" hidden="0" customWidth="1"/>
    <x:col min="13" max="13" width="11.5" hidden="0" customWidth="1"/>
    <x:col min="14" max="14" width="12.5" hidden="0" customWidth="1"/>
    <x:col min="15" max="15" width="12.5" hidden="0" customWidth="1"/>
    <x:col min="16" max="16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1" customHeight="1">
      <x:c r="A2" s="4" t="str">
        <x:v>33项分组探索性比较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5" t="str">
        <x:v>比例差=组1−组0。Fisher精确检验；BH按检验家族校正。小组样本少、未经医院去重，不作因果解释。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6" customHeight="1">
      <x:c r="A5" s="9" t="str">
        <x:v>检验家族</x:v>
      </x:c>
      <x:c r="B5" s="9" t="str">
        <x:v>结局指标</x:v>
      </x:c>
      <x:c r="C5" s="9" t="str">
        <x:v>组1</x:v>
      </x:c>
      <x:c r="D5" s="9" t="str">
        <x:v>组0</x:v>
      </x:c>
      <x:c r="E5" s="9" t="str">
        <x:v>组1事件</x:v>
      </x:c>
      <x:c r="F5" s="9" t="str">
        <x:v>组1分母</x:v>
      </x:c>
      <x:c r="G5" s="9" t="str">
        <x:v>组0事件</x:v>
      </x:c>
      <x:c r="H5" s="9" t="str">
        <x:v>组0分母</x:v>
      </x:c>
      <x:c r="I5" s="9" t="str">
        <x:v>组1比例</x:v>
      </x:c>
      <x:c r="J5" s="9" t="str">
        <x:v>组0比例</x:v>
      </x:c>
      <x:c r="K5" s="9" t="str">
        <x:v>比例差</x:v>
      </x:c>
      <x:c r="L5" s="9" t="str">
        <x:v>差95%下限</x:v>
      </x:c>
      <x:c r="M5" s="9" t="str">
        <x:v>差95%上限</x:v>
      </x:c>
      <x:c r="N5" s="9" t="str">
        <x:v>Fisher双侧p</x:v>
      </x:c>
      <x:c r="O5" s="9" t="str">
        <x:v>BH q</x:v>
      </x:c>
      <x:c r="P5" s="9" t="str">
        <x:v>q&lt;0.05</x:v>
      </x:c>
    </x:row>
    <x:row r="6" ht="30" customHeight="1">
      <x:c r="A6" s="13" t="str">
        <x:v>医院类别12项</x:v>
      </x:c>
      <x:c r="B6" s="13" t="str">
        <x:v>业务能力高差距</x:v>
      </x:c>
      <x:c r="C6" s="13" t="str">
        <x:v>三级类别</x:v>
      </x:c>
      <x:c r="D6" s="13" t="str">
        <x:v>二级类别</x:v>
      </x:c>
      <x:c r="E6" s="11" t="n">
        <x:v>58</x:v>
      </x:c>
      <x:c r="F6" s="11" t="n">
        <x:v>145</x:v>
      </x:c>
      <x:c r="G6" s="11" t="n">
        <x:v>8</x:v>
      </x:c>
      <x:c r="H6" s="11" t="n">
        <x:v>14</x:v>
      </x:c>
      <x:c r="I6" s="12" t="n">
        <x:f>E6/F6</x:f>
        <x:v>0.4</x:v>
      </x:c>
      <x:c r="J6" s="12" t="n">
        <x:f>G6/H6</x:f>
        <x:v>0.5714285714285714</x:v>
      </x:c>
      <x:c r="K6" s="12" t="n">
        <x:f>I6-J6</x:f>
        <x:v>-0.17142857142857137</x:v>
      </x:c>
      <x:c r="L6" s="12" t="n">
        <x:v>-0.3992977523946453</x:v>
      </x:c>
      <x:c r="M6" s="12" t="n">
        <x:v>0.08721226216495803</x:v>
      </x:c>
      <x:c r="N6" s="15" t="n">
        <x:v>0.260705088850597</x:v>
      </x:c>
      <x:c r="O6" s="15" t="n">
        <x:v>0.782115266551791</x:v>
      </x:c>
      <x:c r="P6" s="2" t="str">
        <x:f>IF(O6&lt;0.05,"是","否")</x:f>
        <x:v>否</x:v>
      </x:c>
    </x:row>
    <x:row r="7" ht="30" customHeight="1">
      <x:c r="A7" s="13" t="str">
        <x:v>医院类别12项</x:v>
      </x:c>
      <x:c r="B7" s="13" t="str">
        <x:v>财务能力高差距</x:v>
      </x:c>
      <x:c r="C7" s="13" t="str">
        <x:v>三级类别</x:v>
      </x:c>
      <x:c r="D7" s="13" t="str">
        <x:v>二级类别</x:v>
      </x:c>
      <x:c r="E7" s="11" t="n">
        <x:v>35</x:v>
      </x:c>
      <x:c r="F7" s="11" t="n">
        <x:v>145</x:v>
      </x:c>
      <x:c r="G7" s="11" t="n">
        <x:v>6</x:v>
      </x:c>
      <x:c r="H7" s="11" t="n">
        <x:v>14</x:v>
      </x:c>
      <x:c r="I7" s="12" t="n">
        <x:f>E7/F7</x:f>
        <x:v>0.2413793103448276</x:v>
      </x:c>
      <x:c r="J7" s="12" t="n">
        <x:f>G7/H7</x:f>
        <x:v>0.42857142857142855</x:v>
      </x:c>
      <x:c r="K7" s="12" t="n">
        <x:f>I7-J7</x:f>
        <x:v>-0.18719211822660095</x:v>
      </x:c>
      <x:c r="L7" s="12" t="n">
        <x:v>-0.44051841161221306</x:v>
      </x:c>
      <x:c r="M7" s="12" t="n">
        <x:v>0.04053692911145346</x:v>
      </x:c>
      <x:c r="N7" s="15" t="n">
        <x:v>0.19605311243614257</x:v>
      </x:c>
      <x:c r="O7" s="15" t="n">
        <x:v>0.782115266551791</x:v>
      </x:c>
      <x:c r="P7" s="2" t="str">
        <x:f>IF(O7&lt;0.05,"是","否")</x:f>
        <x:v>否</x:v>
      </x:c>
    </x:row>
    <x:row r="8" ht="30" customHeight="1">
      <x:c r="A8" s="13" t="str">
        <x:v>医院类别12项</x:v>
      </x:c>
      <x:c r="B8" s="13" t="str">
        <x:v>管理能力高差距</x:v>
      </x:c>
      <x:c r="C8" s="13" t="str">
        <x:v>三级类别</x:v>
      </x:c>
      <x:c r="D8" s="13" t="str">
        <x:v>二级类别</x:v>
      </x:c>
      <x:c r="E8" s="11" t="n">
        <x:v>40</x:v>
      </x:c>
      <x:c r="F8" s="11" t="n">
        <x:v>145</x:v>
      </x:c>
      <x:c r="G8" s="11" t="n">
        <x:v>4</x:v>
      </x:c>
      <x:c r="H8" s="11" t="n">
        <x:v>14</x:v>
      </x:c>
      <x:c r="I8" s="12" t="n">
        <x:f>E8/F8</x:f>
        <x:v>0.27586206896551724</x:v>
      </x:c>
      <x:c r="J8" s="12" t="n">
        <x:f>G8/H8</x:f>
        <x:v>0.2857142857142857</x:v>
      </x:c>
      <x:c r="K8" s="12" t="n">
        <x:f>I8-J8</x:f>
        <x:v>-0.009852216748768461</x:v>
      </x:c>
      <x:c r="L8" s="12" t="n">
        <x:v>-0.2789127920717189</x:v>
      </x:c>
      <x:c r="M8" s="12" t="n">
        <x:v>0.17575070254964867</x:v>
      </x:c>
      <x:c r="N8" s="15" t="n">
        <x:v>1</x:v>
      </x:c>
      <x:c r="O8" s="15" t="n">
        <x:v>1</x:v>
      </x:c>
      <x:c r="P8" s="2" t="str">
        <x:f>IF(O8&lt;0.05,"是","否")</x:f>
        <x:v>否</x:v>
      </x:c>
    </x:row>
    <x:row r="9" ht="30" customHeight="1">
      <x:c r="A9" s="13" t="str">
        <x:v>医院类别12项</x:v>
      </x:c>
      <x:c r="B9" s="13" t="str">
        <x:v>数据能力高差距</x:v>
      </x:c>
      <x:c r="C9" s="13" t="str">
        <x:v>三级类别</x:v>
      </x:c>
      <x:c r="D9" s="13" t="str">
        <x:v>二级类别</x:v>
      </x:c>
      <x:c r="E9" s="11" t="n">
        <x:v>49</x:v>
      </x:c>
      <x:c r="F9" s="11" t="n">
        <x:v>145</x:v>
      </x:c>
      <x:c r="G9" s="11" t="n">
        <x:v>6</x:v>
      </x:c>
      <x:c r="H9" s="11" t="n">
        <x:v>14</x:v>
      </x:c>
      <x:c r="I9" s="12" t="n">
        <x:f>E9/F9</x:f>
        <x:v>0.33793103448275863</x:v>
      </x:c>
      <x:c r="J9" s="12" t="n">
        <x:f>G9/H9</x:f>
        <x:v>0.42857142857142855</x:v>
      </x:c>
      <x:c r="K9" s="12" t="n">
        <x:f>I9-J9</x:f>
        <x:v>-0.09064039408866992</x:v>
      </x:c>
      <x:c r="L9" s="12" t="n">
        <x:v>-0.34647979294701287</x:v>
      </x:c>
      <x:c r="M9" s="12" t="n">
        <x:v>0.13863967147491274</x:v>
      </x:c>
      <x:c r="N9" s="15" t="n">
        <x:v>0.5604785924985757</x:v>
      </x:c>
      <x:c r="O9" s="15" t="n">
        <x:v>1</x:v>
      </x:c>
      <x:c r="P9" s="2" t="str">
        <x:f>IF(O9&lt;0.05,"是","否")</x:f>
        <x:v>否</x:v>
      </x:c>
    </x:row>
    <x:row r="10" ht="30" customHeight="1">
      <x:c r="A10" s="13" t="str">
        <x:v>医院类别12项</x:v>
      </x:c>
      <x:c r="B10" s="13" t="str">
        <x:v>风险能力高差距</x:v>
      </x:c>
      <x:c r="C10" s="13" t="str">
        <x:v>三级类别</x:v>
      </x:c>
      <x:c r="D10" s="13" t="str">
        <x:v>二级类别</x:v>
      </x:c>
      <x:c r="E10" s="11" t="n">
        <x:v>44</x:v>
      </x:c>
      <x:c r="F10" s="11" t="n">
        <x:v>145</x:v>
      </x:c>
      <x:c r="G10" s="11" t="n">
        <x:v>4</x:v>
      </x:c>
      <x:c r="H10" s="11" t="n">
        <x:v>14</x:v>
      </x:c>
      <x:c r="I10" s="12" t="n">
        <x:f>E10/F10</x:f>
        <x:v>0.30344827586206896</x:v>
      </x:c>
      <x:c r="J10" s="12" t="n">
        <x:f>G10/H10</x:f>
        <x:v>0.2857142857142857</x:v>
      </x:c>
      <x:c r="K10" s="12" t="n">
        <x:f>I10-J10</x:f>
        <x:v>0.017733990147783263</x:v>
      </x:c>
      <x:c r="L10" s="12" t="n">
        <x:v>-0.25200655315851483</x:v>
      </x:c>
      <x:c r="M10" s="12" t="n">
        <x:v>0.20387961904252808</x:v>
      </x:c>
      <x:c r="N10" s="15" t="n">
        <x:v>1</x:v>
      </x:c>
      <x:c r="O10" s="15" t="n">
        <x:v>1</x:v>
      </x:c>
      <x:c r="P10" s="2" t="str">
        <x:f>IF(O10&lt;0.05,"是","否")</x:f>
        <x:v>否</x:v>
      </x:c>
    </x:row>
    <x:row r="11" ht="30" customHeight="1">
      <x:c r="A11" s="13" t="str">
        <x:v>医院类别12项</x:v>
      </x:c>
      <x:c r="B11" s="13" t="str">
        <x:v>数智课程高需求</x:v>
      </x:c>
      <x:c r="C11" s="13" t="str">
        <x:v>三级类别</x:v>
      </x:c>
      <x:c r="D11" s="13" t="str">
        <x:v>二级类别</x:v>
      </x:c>
      <x:c r="E11" s="11" t="n">
        <x:v>139</x:v>
      </x:c>
      <x:c r="F11" s="11" t="n">
        <x:v>145</x:v>
      </x:c>
      <x:c r="G11" s="11" t="n">
        <x:v>14</x:v>
      </x:c>
      <x:c r="H11" s="11" t="n">
        <x:v>14</x:v>
      </x:c>
      <x:c r="I11" s="12" t="n">
        <x:f>E11/F11</x:f>
        <x:v>0.9586206896551724</x:v>
      </x:c>
      <x:c r="J11" s="12" t="n">
        <x:f>G11/H11</x:f>
        <x:v>1</x:v>
      </x:c>
      <x:c r="K11" s="12" t="n">
        <x:f>I11-J11</x:f>
        <x:v>-0.04137931034482756</x:v>
      </x:c>
      <x:c r="L11" s="12" t="n">
        <x:v>-0.0873314819221147</x:v>
      </x:c>
      <x:c r="M11" s="12" t="n">
        <x:v>0.17508107156210825</x:v>
      </x:c>
      <x:c r="N11" s="15" t="n">
        <x:v>1</x:v>
      </x:c>
      <x:c r="O11" s="15" t="n">
        <x:v>1</x:v>
      </x:c>
      <x:c r="P11" s="2" t="str">
        <x:f>IF(O11&lt;0.05,"是","否")</x:f>
        <x:v>否</x:v>
      </x:c>
    </x:row>
    <x:row r="12" ht="30" customHeight="1">
      <x:c r="A12" s="13" t="str">
        <x:v>医院类别12项</x:v>
      </x:c>
      <x:c r="B12" s="13" t="str">
        <x:v>跟岗进入前三</x:v>
      </x:c>
      <x:c r="C12" s="13" t="str">
        <x:v>三级类别</x:v>
      </x:c>
      <x:c r="D12" s="13" t="str">
        <x:v>二级类别</x:v>
      </x:c>
      <x:c r="E12" s="11" t="n">
        <x:v>111</x:v>
      </x:c>
      <x:c r="F12" s="11" t="n">
        <x:v>145</x:v>
      </x:c>
      <x:c r="G12" s="11" t="n">
        <x:v>11</x:v>
      </x:c>
      <x:c r="H12" s="11" t="n">
        <x:v>14</x:v>
      </x:c>
      <x:c r="I12" s="12" t="n">
        <x:f>E12/F12</x:f>
        <x:v>0.7655172413793103</x:v>
      </x:c>
      <x:c r="J12" s="12" t="n">
        <x:f>G12/H12</x:f>
        <x:v>0.7857142857142857</x:v>
      </x:c>
      <x:c r="K12" s="12" t="n">
        <x:f>I12-J12</x:f>
        <x:v>-0.020197044334975378</x:v>
      </x:c>
      <x:c r="L12" s="12" t="n">
        <x:v>-0.1778878511714873</x:v>
      </x:c>
      <x:c r="M12" s="12" t="n">
        <x:v>0.24855395698291777</x:v>
      </x:c>
      <x:c r="N12" s="15" t="n">
        <x:v>1</x:v>
      </x:c>
      <x:c r="O12" s="15" t="n">
        <x:v>1</x:v>
      </x:c>
      <x:c r="P12" s="2" t="str">
        <x:f>IF(O12&lt;0.05,"是","否")</x:f>
        <x:v>否</x:v>
      </x:c>
    </x:row>
    <x:row r="13" ht="30" customHeight="1">
      <x:c r="A13" s="13" t="str">
        <x:v>医院类别12项</x:v>
      </x:c>
      <x:c r="B13" s="13" t="str">
        <x:v>无系统评估</x:v>
      </x:c>
      <x:c r="C13" s="13" t="str">
        <x:v>三级类别</x:v>
      </x:c>
      <x:c r="D13" s="13" t="str">
        <x:v>二级类别</x:v>
      </x:c>
      <x:c r="E13" s="11" t="n">
        <x:v>73</x:v>
      </x:c>
      <x:c r="F13" s="11" t="n">
        <x:v>145</x:v>
      </x:c>
      <x:c r="G13" s="11" t="n">
        <x:v>10</x:v>
      </x:c>
      <x:c r="H13" s="11" t="n">
        <x:v>14</x:v>
      </x:c>
      <x:c r="I13" s="12" t="n">
        <x:f>E13/F13</x:f>
        <x:v>0.503448275862069</x:v>
      </x:c>
      <x:c r="J13" s="12" t="n">
        <x:f>G13/H13</x:f>
        <x:v>0.7142857142857143</x:v>
      </x:c>
      <x:c r="K13" s="12" t="n">
        <x:f>I13-J13</x:f>
        <x:v>-0.21083743842364533</x:v>
      </x:c>
      <x:c r="L13" s="12" t="n">
        <x:v>-0.3975422603455443</x:v>
      </x:c>
      <x:c r="M13" s="12" t="n">
        <x:v>0.06200334097715571</x:v>
      </x:c>
      <x:c r="N13" s="15" t="n">
        <x:v>0.16603705551300596</x:v>
      </x:c>
      <x:c r="O13" s="15" t="n">
        <x:v>0.782115266551791</x:v>
      </x:c>
      <x:c r="P13" s="2" t="str">
        <x:f>IF(O13&lt;0.05,"是","否")</x:f>
        <x:v>否</x:v>
      </x:c>
    </x:row>
    <x:row r="14" ht="30" customHeight="1">
      <x:c r="A14" s="13" t="str">
        <x:v>医院类别12项</x:v>
      </x:c>
      <x:c r="B14" s="13" t="str">
        <x:v>制度落实到位</x:v>
      </x:c>
      <x:c r="C14" s="13" t="str">
        <x:v>三级类别</x:v>
      </x:c>
      <x:c r="D14" s="13" t="str">
        <x:v>二级类别</x:v>
      </x:c>
      <x:c r="E14" s="11" t="n">
        <x:v>30</x:v>
      </x:c>
      <x:c r="F14" s="11" t="n">
        <x:v>145</x:v>
      </x:c>
      <x:c r="G14" s="11" t="n">
        <x:v>2</x:v>
      </x:c>
      <x:c r="H14" s="11" t="n">
        <x:v>14</x:v>
      </x:c>
      <x:c r="I14" s="12" t="n">
        <x:f>E14/F14</x:f>
        <x:v>0.20689655172413793</x:v>
      </x:c>
      <x:c r="J14" s="12" t="n">
        <x:f>G14/H14</x:f>
        <x:v>0.14285714285714285</x:v>
      </x:c>
      <x:c r="K14" s="12" t="n">
        <x:f>I14-J14</x:f>
        <x:v>0.06403940886699508</x:v>
      </x:c>
      <x:c r="L14" s="12" t="n">
        <x:v>-0.19898069581789093</x:v>
      </x:c>
      <x:c r="M14" s="12" t="n">
        <x:v>0.19013841016492072</x:v>
      </x:c>
      <x:c r="N14" s="15" t="n">
        <x:v>0.7373155388951302</x:v>
      </x:c>
      <x:c r="O14" s="15" t="n">
        <x:v>1</x:v>
      </x:c>
      <x:c r="P14" s="2" t="str">
        <x:f>IF(O14&lt;0.05,"是","否")</x:f>
        <x:v>否</x:v>
      </x:c>
    </x:row>
    <x:row r="15" ht="30" customHeight="1">
      <x:c r="A15" s="13" t="str">
        <x:v>医院类别12项</x:v>
      </x:c>
      <x:c r="B15" s="13" t="str">
        <x:v>常态化轮岗</x:v>
      </x:c>
      <x:c r="C15" s="13" t="str">
        <x:v>三级类别</x:v>
      </x:c>
      <x:c r="D15" s="13" t="str">
        <x:v>二级类别</x:v>
      </x:c>
      <x:c r="E15" s="11" t="n">
        <x:v>35</x:v>
      </x:c>
      <x:c r="F15" s="11" t="n">
        <x:v>145</x:v>
      </x:c>
      <x:c r="G15" s="11" t="n">
        <x:v>3</x:v>
      </x:c>
      <x:c r="H15" s="11" t="n">
        <x:v>14</x:v>
      </x:c>
      <x:c r="I15" s="12" t="n">
        <x:f>E15/F15</x:f>
        <x:v>0.2413793103448276</x:v>
      </x:c>
      <x:c r="J15" s="12" t="n">
        <x:f>G15/H15</x:f>
        <x:v>0.21428571428571427</x:v>
      </x:c>
      <x:c r="K15" s="12" t="n">
        <x:f>I15-J15</x:f>
        <x:v>0.027093596059113323</x:v>
      </x:c>
      <x:c r="L15" s="12" t="n">
        <x:v>-0.2418508322227571</x:v>
      </x:c>
      <x:c r="M15" s="12" t="n">
        <x:v>0.18501554155486036</x:v>
      </x:c>
      <x:c r="N15" s="15" t="n">
        <x:v>1</x:v>
      </x:c>
      <x:c r="O15" s="15" t="n">
        <x:v>1</x:v>
      </x:c>
      <x:c r="P15" s="2" t="str">
        <x:f>IF(O15&lt;0.05,"是","否")</x:f>
        <x:v>否</x:v>
      </x:c>
    </x:row>
    <x:row r="16" ht="30" customHeight="1">
      <x:c r="A16" s="13" t="str">
        <x:v>医院类别12项</x:v>
      </x:c>
      <x:c r="B16" s="13" t="str">
        <x:v>人员配置不足</x:v>
      </x:c>
      <x:c r="C16" s="13" t="str">
        <x:v>三级类别</x:v>
      </x:c>
      <x:c r="D16" s="13" t="str">
        <x:v>二级类别</x:v>
      </x:c>
      <x:c r="E16" s="11" t="n">
        <x:v>69</x:v>
      </x:c>
      <x:c r="F16" s="11" t="n">
        <x:v>145</x:v>
      </x:c>
      <x:c r="G16" s="11" t="n">
        <x:v>11</x:v>
      </x:c>
      <x:c r="H16" s="11" t="n">
        <x:v>14</x:v>
      </x:c>
      <x:c r="I16" s="12" t="n">
        <x:f>E16/F16</x:f>
        <x:v>0.47586206896551725</x:v>
      </x:c>
      <x:c r="J16" s="12" t="n">
        <x:f>G16/H16</x:f>
        <x:v>0.7857142857142857</x:v>
      </x:c>
      <x:c r="K16" s="12" t="n">
        <x:f>I16-J16</x:f>
        <x:v>-0.30985221674876845</x:v>
      </x:c>
      <x:c r="L16" s="12" t="n">
        <x:v>-0.46966521025453767</x:v>
      </x:c>
      <x:c r="M16" s="12" t="n">
        <x:v>-0.03603479107235347</x:v>
      </x:c>
      <x:c r="N16" s="15" t="n">
        <x:v>0.04683982879929114</x:v>
      </x:c>
      <x:c r="O16" s="15" t="n">
        <x:v>0.5620779455914937</x:v>
      </x:c>
      <x:c r="P16" s="2" t="str">
        <x:f>IF(O16&lt;0.05,"是","否")</x:f>
        <x:v>否</x:v>
      </x:c>
    </x:row>
    <x:row r="17" ht="30" customHeight="1">
      <x:c r="A17" s="13" t="str">
        <x:v>医院类别12项</x:v>
      </x:c>
      <x:c r="B17" s="13" t="str">
        <x:v>培训经费前两档</x:v>
      </x:c>
      <x:c r="C17" s="13" t="str">
        <x:v>三级类别</x:v>
      </x:c>
      <x:c r="D17" s="13" t="str">
        <x:v>二级类别</x:v>
      </x:c>
      <x:c r="E17" s="11" t="n">
        <x:v>98</x:v>
      </x:c>
      <x:c r="F17" s="11" t="n">
        <x:v>145</x:v>
      </x:c>
      <x:c r="G17" s="11" t="n">
        <x:v>9</x:v>
      </x:c>
      <x:c r="H17" s="11" t="n">
        <x:v>14</x:v>
      </x:c>
      <x:c r="I17" s="12" t="n">
        <x:f>E17/F17</x:f>
        <x:v>0.6758620689655173</x:v>
      </x:c>
      <x:c r="J17" s="12" t="n">
        <x:f>G17/H17</x:f>
        <x:v>0.6428571428571429</x:v>
      </x:c>
      <x:c r="K17" s="12" t="n">
        <x:f>I17-J17</x:f>
        <x:v>0.033004926108374355</x:v>
      </x:c>
      <x:c r="L17" s="12" t="n">
        <x:v>-0.17651129088638837</x:v>
      </x:c>
      <x:c r="M17" s="12" t="n">
        <x:v>0.2978540636017183</x:v>
      </x:c>
      <x:c r="N17" s="15" t="n">
        <x:v>0.7735075534869584</x:v>
      </x:c>
      <x:c r="O17" s="15" t="n">
        <x:v>1</x:v>
      </x:c>
      <x:c r="P17" s="2" t="str">
        <x:f>IF(O17&lt;0.05,"是","否")</x:f>
        <x:v>否</x:v>
      </x:c>
    </x:row>
    <x:row r="18" ht="30" customHeight="1">
      <x:c r="A18" s="13" t="str">
        <x:v>职务分组12项</x:v>
      </x:c>
      <x:c r="B18" s="13" t="str">
        <x:v>业务能力高差距</x:v>
      </x:c>
      <x:c r="C18" s="13" t="str">
        <x:v>Q4编码1至4</x:v>
      </x:c>
      <x:c r="D18" s="13" t="str">
        <x:v>Q4其他</x:v>
      </x:c>
      <x:c r="E18" s="11" t="n">
        <x:v>29</x:v>
      </x:c>
      <x:c r="F18" s="11" t="n">
        <x:v>91</x:v>
      </x:c>
      <x:c r="G18" s="11" t="n">
        <x:v>37</x:v>
      </x:c>
      <x:c r="H18" s="11" t="n">
        <x:v>71</x:v>
      </x:c>
      <x:c r="I18" s="12" t="n">
        <x:f>E18/F18</x:f>
        <x:v>0.31868131868131866</x:v>
      </x:c>
      <x:c r="J18" s="12" t="n">
        <x:f>G18/H18</x:f>
        <x:v>0.5211267605633803</x:v>
      </x:c>
      <x:c r="K18" s="12" t="n">
        <x:f>I18-J18</x:f>
        <x:v>-0.2024454418820616</x:v>
      </x:c>
      <x:c r="L18" s="12" t="n">
        <x:v>-0.3441724630279399</x:v>
      </x:c>
      <x:c r="M18" s="12" t="n">
        <x:v>-0.04966847371669525</x:v>
      </x:c>
      <x:c r="N18" s="15" t="n">
        <x:v>0.010422738898317982</x:v>
      </x:c>
      <x:c r="O18" s="15" t="n">
        <x:v>0.12507286677981577</x:v>
      </x:c>
      <x:c r="P18" s="2" t="str">
        <x:f>IF(O18&lt;0.05,"是","否")</x:f>
        <x:v>否</x:v>
      </x:c>
    </x:row>
    <x:row r="19" ht="30" customHeight="1">
      <x:c r="A19" s="13" t="str">
        <x:v>职务分组12项</x:v>
      </x:c>
      <x:c r="B19" s="13" t="str">
        <x:v>财务能力高差距</x:v>
      </x:c>
      <x:c r="C19" s="13" t="str">
        <x:v>Q4编码1至4</x:v>
      </x:c>
      <x:c r="D19" s="13" t="str">
        <x:v>Q4其他</x:v>
      </x:c>
      <x:c r="E19" s="11" t="n">
        <x:v>22</x:v>
      </x:c>
      <x:c r="F19" s="11" t="n">
        <x:v>91</x:v>
      </x:c>
      <x:c r="G19" s="11" t="n">
        <x:v>20</x:v>
      </x:c>
      <x:c r="H19" s="11" t="n">
        <x:v>71</x:v>
      </x:c>
      <x:c r="I19" s="12" t="n">
        <x:f>E19/F19</x:f>
        <x:v>0.24175824175824176</x:v>
      </x:c>
      <x:c r="J19" s="12" t="n">
        <x:f>G19/H19</x:f>
        <x:v>0.28169014084507044</x:v>
      </x:c>
      <x:c r="K19" s="12" t="n">
        <x:f>I19-J19</x:f>
        <x:v>-0.039931899086828676</x:v>
      </x:c>
      <x:c r="L19" s="12" t="n">
        <x:v>-0.176907614523103</x:v>
      </x:c>
      <x:c r="M19" s="12" t="n">
        <x:v>0.09347980194952374</x:v>
      </x:c>
      <x:c r="N19" s="15" t="n">
        <x:v>0.5916202217089801</x:v>
      </x:c>
      <x:c r="O19" s="15" t="n">
        <x:v>0.7888269622786401</x:v>
      </x:c>
      <x:c r="P19" s="2" t="str">
        <x:f>IF(O19&lt;0.05,"是","否")</x:f>
        <x:v>否</x:v>
      </x:c>
    </x:row>
    <x:row r="20" ht="30" customHeight="1">
      <x:c r="A20" s="13" t="str">
        <x:v>职务分组12项</x:v>
      </x:c>
      <x:c r="B20" s="13" t="str">
        <x:v>管理能力高差距</x:v>
      </x:c>
      <x:c r="C20" s="13" t="str">
        <x:v>Q4编码1至4</x:v>
      </x:c>
      <x:c r="D20" s="13" t="str">
        <x:v>Q4其他</x:v>
      </x:c>
      <x:c r="E20" s="11" t="n">
        <x:v>21</x:v>
      </x:c>
      <x:c r="F20" s="11" t="n">
        <x:v>91</x:v>
      </x:c>
      <x:c r="G20" s="11" t="n">
        <x:v>24</x:v>
      </x:c>
      <x:c r="H20" s="11" t="n">
        <x:v>71</x:v>
      </x:c>
      <x:c r="I20" s="12" t="n">
        <x:f>E20/F20</x:f>
        <x:v>0.23076923076923078</x:v>
      </x:c>
      <x:c r="J20" s="12" t="n">
        <x:f>G20/H20</x:f>
        <x:v>0.3380281690140845</x:v>
      </x:c>
      <x:c r="K20" s="12" t="n">
        <x:f>I20-J20</x:f>
        <x:v>-0.10725893824485372</x:v>
      </x:c>
      <x:c r="L20" s="12" t="n">
        <x:v>-0.24500603763766796</x:v>
      </x:c>
      <x:c r="M20" s="12" t="n">
        <x:v>0.031047990238383144</x:v>
      </x:c>
      <x:c r="N20" s="15" t="n">
        <x:v>0.15806800300076446</x:v>
      </x:c>
      <x:c r="O20" s="15" t="n">
        <x:v>0.3797997358375229</x:v>
      </x:c>
      <x:c r="P20" s="2" t="str">
        <x:f>IF(O20&lt;0.05,"是","否")</x:f>
        <x:v>否</x:v>
      </x:c>
    </x:row>
    <x:row r="21" ht="30" customHeight="1">
      <x:c r="A21" s="13" t="str">
        <x:v>职务分组12项</x:v>
      </x:c>
      <x:c r="B21" s="13" t="str">
        <x:v>数据能力高差距</x:v>
      </x:c>
      <x:c r="C21" s="13" t="str">
        <x:v>Q4编码1至4</x:v>
      </x:c>
      <x:c r="D21" s="13" t="str">
        <x:v>Q4其他</x:v>
      </x:c>
      <x:c r="E21" s="11" t="n">
        <x:v>28</x:v>
      </x:c>
      <x:c r="F21" s="11" t="n">
        <x:v>91</x:v>
      </x:c>
      <x:c r="G21" s="11" t="n">
        <x:v>29</x:v>
      </x:c>
      <x:c r="H21" s="11" t="n">
        <x:v>71</x:v>
      </x:c>
      <x:c r="I21" s="12" t="n">
        <x:f>E21/F21</x:f>
        <x:v>0.3076923076923077</x:v>
      </x:c>
      <x:c r="J21" s="12" t="n">
        <x:f>G21/H21</x:f>
        <x:v>0.4084507042253521</x:v>
      </x:c>
      <x:c r="K21" s="12" t="n">
        <x:f>I21-J21</x:f>
        <x:v>-0.10075839653304441</x:v>
      </x:c>
      <x:c r="L21" s="12" t="n">
        <x:v>-0.24494848943370826</x:v>
      </x:c>
      <x:c r="M21" s="12" t="n">
        <x:v>0.0462108588074617</x:v>
      </x:c>
      <x:c r="N21" s="15" t="n">
        <x:v>0.18989986791876146</x:v>
      </x:c>
      <x:c r="O21" s="15" t="n">
        <x:v>0.3797997358375229</x:v>
      </x:c>
      <x:c r="P21" s="2" t="str">
        <x:f>IF(O21&lt;0.05,"是","否")</x:f>
        <x:v>否</x:v>
      </x:c>
    </x:row>
    <x:row r="22" ht="30" customHeight="1">
      <x:c r="A22" s="13" t="str">
        <x:v>职务分组12项</x:v>
      </x:c>
      <x:c r="B22" s="13" t="str">
        <x:v>风险能力高差距</x:v>
      </x:c>
      <x:c r="C22" s="13" t="str">
        <x:v>Q4编码1至4</x:v>
      </x:c>
      <x:c r="D22" s="13" t="str">
        <x:v>Q4其他</x:v>
      </x:c>
      <x:c r="E22" s="11" t="n">
        <x:v>22</x:v>
      </x:c>
      <x:c r="F22" s="11" t="n">
        <x:v>91</x:v>
      </x:c>
      <x:c r="G22" s="11" t="n">
        <x:v>27</x:v>
      </x:c>
      <x:c r="H22" s="11" t="n">
        <x:v>71</x:v>
      </x:c>
      <x:c r="I22" s="12" t="n">
        <x:f>E22/F22</x:f>
        <x:v>0.24175824175824176</x:v>
      </x:c>
      <x:c r="J22" s="12" t="n">
        <x:f>G22/H22</x:f>
        <x:v>0.38028169014084506</x:v>
      </x:c>
      <x:c r="K22" s="12" t="n">
        <x:f>I22-J22</x:f>
        <x:v>-0.1385234483826033</x:v>
      </x:c>
      <x:c r="L22" s="12" t="n">
        <x:v>-0.2776401550778388</x:v>
      </x:c>
      <x:c r="M22" s="12" t="n">
        <x:v>0.0038758155815661888</x:v>
      </x:c>
      <x:c r="N22" s="15" t="n">
        <x:v>0.06079845775941661</x:v>
      </x:c>
      <x:c r="O22" s="15" t="n">
        <x:v>0.3272627995951076</x:v>
      </x:c>
      <x:c r="P22" s="2" t="str">
        <x:f>IF(O22&lt;0.05,"是","否")</x:f>
        <x:v>否</x:v>
      </x:c>
    </x:row>
    <x:row r="23" ht="30" customHeight="1">
      <x:c r="A23" s="13" t="str">
        <x:v>职务分组12项</x:v>
      </x:c>
      <x:c r="B23" s="13" t="str">
        <x:v>数智课程高需求</x:v>
      </x:c>
      <x:c r="C23" s="13" t="str">
        <x:v>Q4编码1至4</x:v>
      </x:c>
      <x:c r="D23" s="13" t="str">
        <x:v>Q4其他</x:v>
      </x:c>
      <x:c r="E23" s="11" t="n">
        <x:v>89</x:v>
      </x:c>
      <x:c r="F23" s="11" t="n">
        <x:v>91</x:v>
      </x:c>
      <x:c r="G23" s="11" t="n">
        <x:v>67</x:v>
      </x:c>
      <x:c r="H23" s="11" t="n">
        <x:v>71</x:v>
      </x:c>
      <x:c r="I23" s="12" t="n">
        <x:f>E23/F23</x:f>
        <x:v>0.978021978021978</x:v>
      </x:c>
      <x:c r="J23" s="12" t="n">
        <x:f>G23/H23</x:f>
        <x:v>0.9436619718309859</x:v>
      </x:c>
      <x:c r="K23" s="12" t="n">
        <x:f>I23-J23</x:f>
        <x:v>0.03436000619099211</x:v>
      </x:c>
      <x:c r="L23" s="12" t="n">
        <x:v>-0.030119314606190287</x:v>
      </x:c>
      <x:c r="M23" s="12" t="n">
        <x:v>0.11569332487958323</x:v>
      </x:c>
      <x:c r="N23" s="15" t="n">
        <x:v>0.40573613339597303</x:v>
      </x:c>
      <x:c r="O23" s="15" t="n">
        <x:v>0.6086042000939595</x:v>
      </x:c>
      <x:c r="P23" s="2" t="str">
        <x:f>IF(O23&lt;0.05,"是","否")</x:f>
        <x:v>否</x:v>
      </x:c>
    </x:row>
    <x:row r="24" ht="30" customHeight="1">
      <x:c r="A24" s="13" t="str">
        <x:v>职务分组12项</x:v>
      </x:c>
      <x:c r="B24" s="13" t="str">
        <x:v>跟岗进入前三</x:v>
      </x:c>
      <x:c r="C24" s="13" t="str">
        <x:v>Q4编码1至4</x:v>
      </x:c>
      <x:c r="D24" s="13" t="str">
        <x:v>Q4其他</x:v>
      </x:c>
      <x:c r="E24" s="11" t="n">
        <x:v>74</x:v>
      </x:c>
      <x:c r="F24" s="11" t="n">
        <x:v>91</x:v>
      </x:c>
      <x:c r="G24" s="11" t="n">
        <x:v>51</x:v>
      </x:c>
      <x:c r="H24" s="11" t="n">
        <x:v>71</x:v>
      </x:c>
      <x:c r="I24" s="12" t="n">
        <x:f>E24/F24</x:f>
        <x:v>0.8131868131868132</x:v>
      </x:c>
      <x:c r="J24" s="12" t="n">
        <x:f>G24/H24</x:f>
        <x:v>0.7183098591549296</x:v>
      </x:c>
      <x:c r="K24" s="12" t="n">
        <x:f>I24-J24</x:f>
        <x:v>0.09487695403188356</x:v>
      </x:c>
      <x:c r="L24" s="12" t="n">
        <x:v>-0.03485406957757084</x:v>
      </x:c>
      <x:c r="M24" s="12" t="n">
        <x:v>0.22676139269024564</x:v>
      </x:c>
      <x:c r="N24" s="15" t="n">
        <x:v>0.1875836576381712</x:v>
      </x:c>
      <x:c r="O24" s="15" t="n">
        <x:v>0.3797997358375229</x:v>
      </x:c>
      <x:c r="P24" s="2" t="str">
        <x:f>IF(O24&lt;0.05,"是","否")</x:f>
        <x:v>否</x:v>
      </x:c>
    </x:row>
    <x:row r="25" ht="30" customHeight="1">
      <x:c r="A25" s="13" t="str">
        <x:v>职务分组12项</x:v>
      </x:c>
      <x:c r="B25" s="13" t="str">
        <x:v>无系统评估</x:v>
      </x:c>
      <x:c r="C25" s="13" t="str">
        <x:v>Q4编码1至4</x:v>
      </x:c>
      <x:c r="D25" s="13" t="str">
        <x:v>Q4其他</x:v>
      </x:c>
      <x:c r="E25" s="11" t="n">
        <x:v>42</x:v>
      </x:c>
      <x:c r="F25" s="11" t="n">
        <x:v>91</x:v>
      </x:c>
      <x:c r="G25" s="11" t="n">
        <x:v>43</x:v>
      </x:c>
      <x:c r="H25" s="11" t="n">
        <x:v>71</x:v>
      </x:c>
      <x:c r="I25" s="12" t="n">
        <x:f>E25/F25</x:f>
        <x:v>0.46153846153846156</x:v>
      </x:c>
      <x:c r="J25" s="12" t="n">
        <x:f>G25/H25</x:f>
        <x:v>0.6056338028169014</x:v>
      </x:c>
      <x:c r="K25" s="12" t="n">
        <x:f>I25-J25</x:f>
        <x:v>-0.14409534127843981</x:v>
      </x:c>
      <x:c r="L25" s="12" t="n">
        <x:v>-0.28857457277589266</x:v>
      </x:c>
      <x:c r="M25" s="12" t="n">
        <x:v>0.010512898778382879</x:v>
      </x:c>
      <x:c r="N25" s="15" t="n">
        <x:v>0.0818156998987769</x:v>
      </x:c>
      <x:c r="O25" s="15" t="n">
        <x:v>0.3272627995951076</x:v>
      </x:c>
      <x:c r="P25" s="2" t="str">
        <x:f>IF(O25&lt;0.05,"是","否")</x:f>
        <x:v>否</x:v>
      </x:c>
    </x:row>
    <x:row r="26" ht="30" customHeight="1">
      <x:c r="A26" s="13" t="str">
        <x:v>职务分组12项</x:v>
      </x:c>
      <x:c r="B26" s="13" t="str">
        <x:v>制度落实到位</x:v>
      </x:c>
      <x:c r="C26" s="13" t="str">
        <x:v>Q4编码1至4</x:v>
      </x:c>
      <x:c r="D26" s="13" t="str">
        <x:v>Q4其他</x:v>
      </x:c>
      <x:c r="E26" s="11" t="n">
        <x:v>19</x:v>
      </x:c>
      <x:c r="F26" s="11" t="n">
        <x:v>91</x:v>
      </x:c>
      <x:c r="G26" s="11" t="n">
        <x:v>13</x:v>
      </x:c>
      <x:c r="H26" s="11" t="n">
        <x:v>71</x:v>
      </x:c>
      <x:c r="I26" s="12" t="n">
        <x:f>E26/F26</x:f>
        <x:v>0.2087912087912088</x:v>
      </x:c>
      <x:c r="J26" s="12" t="n">
        <x:f>G26/H26</x:f>
        <x:v>0.18309859154929578</x:v>
      </x:c>
      <x:c r="K26" s="12" t="n">
        <x:f>I26-J26</x:f>
        <x:v>0.02569261724191302</x:v>
      </x:c>
      <x:c r="L26" s="12" t="n">
        <x:v>-0.10129314502887032</x:v>
      </x:c>
      <x:c r="M26" s="12" t="n">
        <x:v>0.1449668894172803</x:v>
      </x:c>
      <x:c r="N26" s="15" t="n">
        <x:v>0.8426391721680946</x:v>
      </x:c>
      <x:c r="O26" s="15" t="n">
        <x:v>0.8426391721680946</x:v>
      </x:c>
      <x:c r="P26" s="2" t="str">
        <x:f>IF(O26&lt;0.05,"是","否")</x:f>
        <x:v>否</x:v>
      </x:c>
    </x:row>
    <x:row r="27" ht="30" customHeight="1">
      <x:c r="A27" s="13" t="str">
        <x:v>职务分组12项</x:v>
      </x:c>
      <x:c r="B27" s="13" t="str">
        <x:v>常态化轮岗</x:v>
      </x:c>
      <x:c r="C27" s="13" t="str">
        <x:v>Q4编码1至4</x:v>
      </x:c>
      <x:c r="D27" s="13" t="str">
        <x:v>Q4其他</x:v>
      </x:c>
      <x:c r="E27" s="11" t="n">
        <x:v>24</x:v>
      </x:c>
      <x:c r="F27" s="11" t="n">
        <x:v>91</x:v>
      </x:c>
      <x:c r="G27" s="11" t="n">
        <x:v>14</x:v>
      </x:c>
      <x:c r="H27" s="11" t="n">
        <x:v>71</x:v>
      </x:c>
      <x:c r="I27" s="12" t="n">
        <x:f>E27/F27</x:f>
        <x:v>0.26373626373626374</x:v>
      </x:c>
      <x:c r="J27" s="12" t="n">
        <x:f>G27/H27</x:f>
        <x:v>0.19718309859154928</x:v>
      </x:c>
      <x:c r="K27" s="12" t="n">
        <x:f>I27-J27</x:f>
        <x:v>0.06655316514471446</x:v>
      </x:c>
      <x:c r="L27" s="12" t="n">
        <x:v>-0.0668369277504593</x:v>
      </x:c>
      <x:c r="M27" s="12" t="n">
        <x:v>0.19113425275277235</x:v>
      </x:c>
      <x:c r="N27" s="15" t="n">
        <x:v>0.35482597912763053</x:v>
      </x:c>
      <x:c r="O27" s="15" t="n">
        <x:v>0.6082731070759381</x:v>
      </x:c>
      <x:c r="P27" s="2" t="str">
        <x:f>IF(O27&lt;0.05,"是","否")</x:f>
        <x:v>否</x:v>
      </x:c>
    </x:row>
    <x:row r="28" ht="30" customHeight="1">
      <x:c r="A28" s="13" t="str">
        <x:v>职务分组12项</x:v>
      </x:c>
      <x:c r="B28" s="13" t="str">
        <x:v>人员配置不足</x:v>
      </x:c>
      <x:c r="C28" s="13" t="str">
        <x:v>Q4编码1至4</x:v>
      </x:c>
      <x:c r="D28" s="13" t="str">
        <x:v>Q4其他</x:v>
      </x:c>
      <x:c r="E28" s="11" t="n">
        <x:v>45</x:v>
      </x:c>
      <x:c r="F28" s="11" t="n">
        <x:v>91</x:v>
      </x:c>
      <x:c r="G28" s="11" t="n">
        <x:v>37</x:v>
      </x:c>
      <x:c r="H28" s="11" t="n">
        <x:v>71</x:v>
      </x:c>
      <x:c r="I28" s="12" t="n">
        <x:f>E28/F28</x:f>
        <x:v>0.4945054945054945</x:v>
      </x:c>
      <x:c r="J28" s="12" t="n">
        <x:f>G28/H28</x:f>
        <x:v>0.5211267605633803</x:v>
      </x:c>
      <x:c r="K28" s="12" t="n">
        <x:f>I28-J28</x:f>
        <x:v>-0.02662126605788573</x:v>
      </x:c>
      <x:c r="L28" s="12" t="n">
        <x:v>-0.17710731883357952</x:v>
      </x:c>
      <x:c r="M28" s="12" t="n">
        <x:v>0.12578136743500115</x:v>
      </x:c>
      <x:c r="N28" s="15" t="n">
        <x:v>0.753884837776357</x:v>
      </x:c>
      <x:c r="O28" s="15" t="n">
        <x:v>0.822419823028753</x:v>
      </x:c>
      <x:c r="P28" s="2" t="str">
        <x:f>IF(O28&lt;0.05,"是","否")</x:f>
        <x:v>否</x:v>
      </x:c>
    </x:row>
    <x:row r="29" ht="30" customHeight="1">
      <x:c r="A29" s="13" t="str">
        <x:v>职务分组12项</x:v>
      </x:c>
      <x:c r="B29" s="13" t="str">
        <x:v>培训经费前两档</x:v>
      </x:c>
      <x:c r="C29" s="13" t="str">
        <x:v>Q4编码1至4</x:v>
      </x:c>
      <x:c r="D29" s="13" t="str">
        <x:v>Q4其他</x:v>
      </x:c>
      <x:c r="E29" s="11" t="n">
        <x:v>63</x:v>
      </x:c>
      <x:c r="F29" s="11" t="n">
        <x:v>91</x:v>
      </x:c>
      <x:c r="G29" s="11" t="n">
        <x:v>47</x:v>
      </x:c>
      <x:c r="H29" s="11" t="n">
        <x:v>71</x:v>
      </x:c>
      <x:c r="I29" s="12" t="n">
        <x:f>E29/F29</x:f>
        <x:v>0.6923076923076923</x:v>
      </x:c>
      <x:c r="J29" s="12" t="n">
        <x:f>G29/H29</x:f>
        <x:v>0.6619718309859155</x:v>
      </x:c>
      <x:c r="K29" s="12" t="n">
        <x:f>I29-J29</x:f>
        <x:v>0.03033586132177679</x:v>
      </x:c>
      <x:c r="L29" s="12" t="n">
        <x:v>-0.11121932324699355</x:v>
      </x:c>
      <x:c r="M29" s="12" t="n">
        <x:v>0.1742394490337163</x:v>
      </x:c>
      <x:c r="N29" s="15" t="n">
        <x:v>0.735727310425129</x:v>
      </x:c>
      <x:c r="O29" s="15" t="n">
        <x:v>0.822419823028753</x:v>
      </x:c>
      <x:c r="P29" s="2" t="str">
        <x:f>IF(O29&lt;0.05,"是","否")</x:f>
        <x:v>否</x:v>
      </x:c>
    </x:row>
    <x:row r="30" ht="30" customHeight="1">
      <x:c r="A30" s="13" t="str">
        <x:v>制度落实3项</x:v>
      </x:c>
      <x:c r="B30" s="13" t="str">
        <x:v>无系统评估</x:v>
      </x:c>
      <x:c r="C30" s="13" t="str">
        <x:v>有制度且落实到位</x:v>
      </x:c>
      <x:c r="D30" s="13" t="str">
        <x:v>其他回答</x:v>
      </x:c>
      <x:c r="E30" s="11" t="n">
        <x:v>9</x:v>
      </x:c>
      <x:c r="F30" s="11" t="n">
        <x:v>32</x:v>
      </x:c>
      <x:c r="G30" s="11" t="n">
        <x:v>76</x:v>
      </x:c>
      <x:c r="H30" s="11" t="n">
        <x:v>130</x:v>
      </x:c>
      <x:c r="I30" s="12" t="n">
        <x:f>E30/F30</x:f>
        <x:v>0.28125</x:v>
      </x:c>
      <x:c r="J30" s="12" t="n">
        <x:f>G30/H30</x:f>
        <x:v>0.5846153846153846</x:v>
      </x:c>
      <x:c r="K30" s="12" t="n">
        <x:f>I30-J30</x:f>
        <x:v>-0.30336538461538465</x:v>
      </x:c>
      <x:c r="L30" s="12" t="n">
        <x:v>-0.4528726610672564</x:v>
      </x:c>
      <x:c r="M30" s="12" t="n">
        <x:v>-0.1106429787192264</x:v>
      </x:c>
      <x:c r="N30" s="15" t="n">
        <x:v>0.002772553047924015</x:v>
      </x:c>
      <x:c r="O30" s="15" t="n">
        <x:v>0.008317659143772044</x:v>
      </x:c>
      <x:c r="P30" s="2" t="str">
        <x:f>IF(O30&lt;0.05,"是","否")</x:f>
        <x:v>是</x:v>
      </x:c>
    </x:row>
    <x:row r="31" ht="30" customHeight="1">
      <x:c r="A31" s="13" t="str">
        <x:v>制度落实3项</x:v>
      </x:c>
      <x:c r="B31" s="13" t="str">
        <x:v>缺乏培训后跟踪</x:v>
      </x:c>
      <x:c r="C31" s="13" t="str">
        <x:v>有制度且落实到位</x:v>
      </x:c>
      <x:c r="D31" s="13" t="str">
        <x:v>其他回答</x:v>
      </x:c>
      <x:c r="E31" s="11" t="n">
        <x:v>20</x:v>
      </x:c>
      <x:c r="F31" s="11" t="n">
        <x:v>32</x:v>
      </x:c>
      <x:c r="G31" s="11" t="n">
        <x:v>88</x:v>
      </x:c>
      <x:c r="H31" s="11" t="n">
        <x:v>130</x:v>
      </x:c>
      <x:c r="I31" s="12" t="n">
        <x:f>E31/F31</x:f>
        <x:v>0.625</x:v>
      </x:c>
      <x:c r="J31" s="12" t="n">
        <x:f>G31/H31</x:f>
        <x:v>0.676923076923077</x:v>
      </x:c>
      <x:c r="K31" s="12" t="n">
        <x:f>I31-J31</x:f>
        <x:v>-0.05192307692307696</x:v>
      </x:c>
      <x:c r="L31" s="12" t="n">
        <x:v>-0.23970837751788843</x:v>
      </x:c>
      <x:c r="M31" s="12" t="n">
        <x:v>0.11645743076939316</x:v>
      </x:c>
      <x:c r="N31" s="15" t="n">
        <x:v>0.6759793196084954</x:v>
      </x:c>
      <x:c r="O31" s="15" t="n">
        <x:v>0.6759793196084954</x:v>
      </x:c>
      <x:c r="P31" s="2" t="str">
        <x:f>IF(O31&lt;0.05,"是","否")</x:f>
        <x:v>否</x:v>
      </x:c>
    </x:row>
    <x:row r="32" ht="30" customHeight="1">
      <x:c r="A32" s="13" t="str">
        <x:v>制度落实3项</x:v>
      </x:c>
      <x:c r="B32" s="13" t="str">
        <x:v>激励结果运用障碍</x:v>
      </x:c>
      <x:c r="C32" s="13" t="str">
        <x:v>有制度且落实到位</x:v>
      </x:c>
      <x:c r="D32" s="13" t="str">
        <x:v>其他回答</x:v>
      </x:c>
      <x:c r="E32" s="11" t="n">
        <x:v>22</x:v>
      </x:c>
      <x:c r="F32" s="11" t="n">
        <x:v>32</x:v>
      </x:c>
      <x:c r="G32" s="11" t="n">
        <x:v>74</x:v>
      </x:c>
      <x:c r="H32" s="11" t="n">
        <x:v>130</x:v>
      </x:c>
      <x:c r="I32" s="12" t="n">
        <x:f>E32/F32</x:f>
        <x:v>0.6875</x:v>
      </x:c>
      <x:c r="J32" s="12" t="n">
        <x:f>G32/H32</x:f>
        <x:v>0.5692307692307692</x:v>
      </x:c>
      <x:c r="K32" s="12" t="n">
        <x:f>I32-J32</x:f>
        <x:v>0.1182692307692308</x:v>
      </x:c>
      <x:c r="L32" s="12" t="n">
        <x:v>-0.07330053030532382</x:v>
      </x:c>
      <x:c r="M32" s="12" t="n">
        <x:v>0.2765773090770225</x:v>
      </x:c>
      <x:c r="N32" s="15" t="n">
        <x:v>0.23690929300506905</x:v>
      </x:c>
      <x:c r="O32" s="15" t="n">
        <x:v>0.3553639395076036</x:v>
      </x:c>
      <x:c r="P32" s="2" t="str">
        <x:f>IF(O32&lt;0.05,"是","否")</x:f>
        <x:v>否</x:v>
      </x:c>
    </x:row>
    <x:row r="33" ht="30" customHeight="1">
      <x:c r="A33" s="13" t="str">
        <x:v>Q11可用性6项</x:v>
      </x:c>
      <x:c r="B33" s="13" t="str">
        <x:v>三级类别</x:v>
      </x:c>
      <x:c r="C33" s="13" t="str">
        <x:v>Q11总人数有效</x:v>
      </x:c>
      <x:c r="D33" s="13" t="str">
        <x:v>其余答卷</x:v>
      </x:c>
      <x:c r="E33" s="11" t="n">
        <x:v>83</x:v>
      </x:c>
      <x:c r="F33" s="11" t="n">
        <x:v>98</x:v>
      </x:c>
      <x:c r="G33" s="11" t="n">
        <x:v>62</x:v>
      </x:c>
      <x:c r="H33" s="11" t="n">
        <x:v>64</x:v>
      </x:c>
      <x:c r="I33" s="12" t="n">
        <x:f>E33/F33</x:f>
        <x:v>0.8469387755102041</x:v>
      </x:c>
      <x:c r="J33" s="12" t="n">
        <x:f>G33/H33</x:f>
        <x:v>0.96875</x:v>
      </x:c>
      <x:c r="K33" s="12" t="n">
        <x:f>I33-J33</x:f>
        <x:v>-0.12181122448979587</x:v>
      </x:c>
      <x:c r="L33" s="12" t="n">
        <x:v>-0.20902782979850607</x:v>
      </x:c>
      <x:c r="M33" s="12" t="n">
        <x:v>-0.026394909289001442</x:v>
      </x:c>
      <x:c r="N33" s="15" t="n">
        <x:v>0.01657781375306642</x:v>
      </x:c>
      <x:c r="O33" s="15" t="n">
        <x:v>0.024866720629599628</x:v>
      </x:c>
      <x:c r="P33" s="2" t="str">
        <x:f>IF(O33&lt;0.05,"是","否")</x:f>
        <x:v>是</x:v>
      </x:c>
    </x:row>
    <x:row r="34" ht="30" customHeight="1">
      <x:c r="A34" s="13" t="str">
        <x:v>Q11可用性6项</x:v>
      </x:c>
      <x:c r="B34" s="13" t="str">
        <x:v>管理者</x:v>
      </x:c>
      <x:c r="C34" s="13" t="str">
        <x:v>Q11总人数有效</x:v>
      </x:c>
      <x:c r="D34" s="13" t="str">
        <x:v>其余答卷</x:v>
      </x:c>
      <x:c r="E34" s="11" t="n">
        <x:v>64</x:v>
      </x:c>
      <x:c r="F34" s="11" t="n">
        <x:v>98</x:v>
      </x:c>
      <x:c r="G34" s="11" t="n">
        <x:v>27</x:v>
      </x:c>
      <x:c r="H34" s="11" t="n">
        <x:v>64</x:v>
      </x:c>
      <x:c r="I34" s="12" t="n">
        <x:f>E34/F34</x:f>
        <x:v>0.6530612244897959</x:v>
      </x:c>
      <x:c r="J34" s="12" t="n">
        <x:f>G34/H34</x:f>
        <x:v>0.421875</x:v>
      </x:c>
      <x:c r="K34" s="12" t="n">
        <x:f>I34-J34</x:f>
        <x:v>0.23118622448979587</x:v>
      </x:c>
      <x:c r="L34" s="12" t="n">
        <x:v>0.07442990651398346</x:v>
      </x:c>
      <x:c r="M34" s="12" t="n">
        <x:v>0.37384838515652385</x:v>
      </x:c>
      <x:c r="N34" s="15" t="n">
        <x:v>0.005703482186694142</x:v>
      </x:c>
      <x:c r="O34" s="15" t="n">
        <x:v>0.011406964373388284</x:v>
      </x:c>
      <x:c r="P34" s="2" t="str">
        <x:f>IF(O34&lt;0.05,"是","否")</x:f>
        <x:v>是</x:v>
      </x:c>
    </x:row>
    <x:row r="35" ht="30" customHeight="1">
      <x:c r="A35" s="13" t="str">
        <x:v>Q11可用性6项</x:v>
      </x:c>
      <x:c r="B35" s="13" t="str">
        <x:v>硕士及以上</x:v>
      </x:c>
      <x:c r="C35" s="13" t="str">
        <x:v>Q11总人数有效</x:v>
      </x:c>
      <x:c r="D35" s="13" t="str">
        <x:v>其余答卷</x:v>
      </x:c>
      <x:c r="E35" s="11" t="n">
        <x:v>45</x:v>
      </x:c>
      <x:c r="F35" s="11" t="n">
        <x:v>98</x:v>
      </x:c>
      <x:c r="G35" s="11" t="n">
        <x:v>46</x:v>
      </x:c>
      <x:c r="H35" s="11" t="n">
        <x:v>64</x:v>
      </x:c>
      <x:c r="I35" s="12" t="n">
        <x:f>E35/F35</x:f>
        <x:v>0.45918367346938777</x:v>
      </x:c>
      <x:c r="J35" s="12" t="n">
        <x:f>G35/H35</x:f>
        <x:v>0.71875</x:v>
      </x:c>
      <x:c r="K35" s="12" t="n">
        <x:f>I35-J35</x:f>
        <x:v>-0.25956632653061223</x:v>
      </x:c>
      <x:c r="L35" s="12" t="n">
        <x:v>-0.394321796833525</x:v>
      </x:c>
      <x:c r="M35" s="12" t="n">
        <x:v>-0.1043523066509755</x:v>
      </x:c>
      <x:c r="N35" s="15" t="n">
        <x:v>0.0012390688152506008</x:v>
      </x:c>
      <x:c r="O35" s="15" t="n">
        <x:v>0.006679551027564479</x:v>
      </x:c>
      <x:c r="P35" s="2" t="str">
        <x:f>IF(O35&lt;0.05,"是","否")</x:f>
        <x:v>是</x:v>
      </x:c>
    </x:row>
    <x:row r="36" ht="30" customHeight="1">
      <x:c r="A36" s="13" t="str">
        <x:v>Q11可用性6项</x:v>
      </x:c>
      <x:c r="B36" s="13" t="str">
        <x:v>高级职称</x:v>
      </x:c>
      <x:c r="C36" s="13" t="str">
        <x:v>Q11总人数有效</x:v>
      </x:c>
      <x:c r="D36" s="13" t="str">
        <x:v>其余答卷</x:v>
      </x:c>
      <x:c r="E36" s="11" t="n">
        <x:v>55</x:v>
      </x:c>
      <x:c r="F36" s="11" t="n">
        <x:v>98</x:v>
      </x:c>
      <x:c r="G36" s="11" t="n">
        <x:v>20</x:v>
      </x:c>
      <x:c r="H36" s="11" t="n">
        <x:v>64</x:v>
      </x:c>
      <x:c r="I36" s="12" t="n">
        <x:f>E36/F36</x:f>
        <x:v>0.5612244897959183</x:v>
      </x:c>
      <x:c r="J36" s="12" t="n">
        <x:f>G36/H36</x:f>
        <x:v>0.3125</x:v>
      </x:c>
      <x:c r="K36" s="12" t="n">
        <x:f>I36-J36</x:f>
        <x:v>0.24872448979591832</x:v>
      </x:c>
      <x:c r="L36" s="12" t="n">
        <x:v>0.09223750003838516</x:v>
      </x:c>
      <x:c r="M36" s="12" t="n">
        <x:v>0.3861723070718588</x:v>
      </x:c>
      <x:c r="N36" s="15" t="n">
        <x:v>0.0022265170091881597</x:v>
      </x:c>
      <x:c r="O36" s="15" t="n">
        <x:v>0.006679551027564479</x:v>
      </x:c>
      <x:c r="P36" s="2" t="str">
        <x:f>IF(O36&lt;0.05,"是","否")</x:f>
        <x:v>是</x:v>
      </x:c>
    </x:row>
    <x:row r="37" ht="30" customHeight="1">
      <x:c r="A37" s="13" t="str">
        <x:v>Q11可用性6项</x:v>
      </x:c>
      <x:c r="B37" s="13" t="str">
        <x:v>财审专业</x:v>
      </x:c>
      <x:c r="C37" s="13" t="str">
        <x:v>Q11总人数有效</x:v>
      </x:c>
      <x:c r="D37" s="13" t="str">
        <x:v>其余答卷</x:v>
      </x:c>
      <x:c r="E37" s="11" t="n">
        <x:v>89</x:v>
      </x:c>
      <x:c r="F37" s="11" t="n">
        <x:v>98</x:v>
      </x:c>
      <x:c r="G37" s="11" t="n">
        <x:v>53</x:v>
      </x:c>
      <x:c r="H37" s="11" t="n">
        <x:v>64</x:v>
      </x:c>
      <x:c r="I37" s="12" t="n">
        <x:f>E37/F37</x:f>
        <x:v>0.9081632653061225</x:v>
      </x:c>
      <x:c r="J37" s="12" t="n">
        <x:f>G37/H37</x:f>
        <x:v>0.828125</x:v>
      </x:c>
      <x:c r="K37" s="12" t="n">
        <x:f>I37-J37</x:f>
        <x:v>0.08003826530612246</x:v>
      </x:c>
      <x:c r="L37" s="12" t="n">
        <x:v>-0.023664355065126416</x:v>
      </x:c>
      <x:c r="M37" s="12" t="n">
        <x:v>0.19829938489711801</x:v>
      </x:c>
      <x:c r="N37" s="15" t="n">
        <x:v>0.1478213451295044</x:v>
      </x:c>
      <x:c r="O37" s="15" t="n">
        <x:v>0.17738561415540527</x:v>
      </x:c>
      <x:c r="P37" s="2" t="str">
        <x:f>IF(O37&lt;0.05,"是","否")</x:f>
        <x:v>否</x:v>
      </x:c>
    </x:row>
    <x:row r="38" ht="30" customHeight="1">
      <x:c r="A38" s="13" t="str">
        <x:v>Q11可用性6项</x:v>
      </x:c>
      <x:c r="B38" s="13" t="str">
        <x:v>数智课程高需求</x:v>
      </x:c>
      <x:c r="C38" s="13" t="str">
        <x:v>Q11总人数有效</x:v>
      </x:c>
      <x:c r="D38" s="13" t="str">
        <x:v>其余答卷</x:v>
      </x:c>
      <x:c r="E38" s="11" t="n">
        <x:v>94</x:v>
      </x:c>
      <x:c r="F38" s="11" t="n">
        <x:v>98</x:v>
      </x:c>
      <x:c r="G38" s="11" t="n">
        <x:v>62</x:v>
      </x:c>
      <x:c r="H38" s="11" t="n">
        <x:v>64</x:v>
      </x:c>
      <x:c r="I38" s="12" t="n">
        <x:f>E38/F38</x:f>
        <x:v>0.9591836734693877</x:v>
      </x:c>
      <x:c r="J38" s="12" t="n">
        <x:f>G38/H38</x:f>
        <x:v>0.96875</x:v>
      </x:c>
      <x:c r="K38" s="12" t="n">
        <x:f>I38-J38</x:f>
        <x:v>-0.00956632653061229</x:v>
      </x:c>
      <x:c r="L38" s="12" t="n">
        <x:v>-0.07320104848974693</x:v>
      </x:c>
      <x:c r="M38" s="12" t="n">
        <x:v>0.07012396565651911</x:v>
      </x:c>
      <x:c r="N38" s="15" t="n">
        <x:v>1</x:v>
      </x:c>
      <x:c r="O38" s="15" t="n">
        <x:v>1</x:v>
      </x:c>
      <x:c r="P38" s="2" t="str">
        <x:f>IF(O38&lt;0.05,"是","否")</x:f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92332fc9248e49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9" hidden="0" customWidth="1"/>
    <x:col min="4" max="4" width="10" hidden="0" customWidth="1"/>
    <x:col min="5" max="5" width="11" hidden="0" customWidth="1"/>
    <x:col min="6" max="6" width="11" hidden="0" customWidth="1"/>
    <x:col min="7" max="7" width="8.5" hidden="0" customWidth="1"/>
    <x:col min="8" max="8" width="8.5" hidden="0" customWidth="1"/>
    <x:col min="9" max="9" width="8.5" hidden="0" customWidth="1"/>
    <x:col min="10" max="10" width="14.5" hidden="0" customWidth="1"/>
    <x:col min="11" max="11" width="13" hidden="0" customWidth="1"/>
    <x:col min="12" max="12" width="9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4" t="str">
        <x:v>Q22五维能力差距的配对检验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A3" s="5" t="str">
        <x:v>差=维度1−维度2。精确随机符号置换；10对为一个BH家族。配对均值差t区间未校正多重比较。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9" t="str">
        <x:v>维度1</x:v>
      </x:c>
      <x:c r="B5" s="9" t="str">
        <x:v>维度2</x:v>
      </x:c>
      <x:c r="C5" s="9" t="str">
        <x:v>配对数</x:v>
      </x:c>
      <x:c r="D5" s="9" t="str">
        <x:v>均值差</x:v>
      </x:c>
      <x:c r="E5" s="9" t="str">
        <x:v>差95%下限</x:v>
      </x:c>
      <x:c r="F5" s="9" t="str">
        <x:v>差95%上限</x:v>
      </x:c>
      <x:c r="G5" s="9" t="str">
        <x:v>差&gt;0</x:v>
      </x:c>
      <x:c r="H5" s="9" t="str">
        <x:v>差=0</x:v>
      </x:c>
      <x:c r="I5" s="9" t="str">
        <x:v>差&lt;0</x:v>
      </x:c>
      <x:c r="J5" s="9" t="str">
        <x:v>精确符号置换p</x:v>
      </x:c>
      <x:c r="K5" s="9" t="str">
        <x:v>BH q</x:v>
      </x:c>
      <x:c r="L5" s="9" t="str">
        <x:v>q&lt;0.05</x:v>
      </x:c>
    </x:row>
    <x:row r="6" ht="30" customHeight="1">
      <x:c r="A6" s="13" t="str">
        <x:v>D1 懂业务:理解医疗业务流程与临床运行规律</x:v>
      </x:c>
      <x:c r="B6" s="13" t="str">
        <x:v>D2 通财务:掌握财务、预算、成本专业知识</x:v>
      </x:c>
      <x:c r="C6" s="11" t="n">
        <x:v>162</x:v>
      </x:c>
      <x:c r="D6" s="16" t="n">
        <x:v>0.6419753086419753</x:v>
      </x:c>
      <x:c r="E6" s="16" t="n">
        <x:v>0.44208084292533834</x:v>
      </x:c>
      <x:c r="F6" s="16" t="n">
        <x:v>0.8418697743586122</x:v>
      </x:c>
      <x:c r="G6" s="11" t="n">
        <x:v>80</x:v>
      </x:c>
      <x:c r="H6" s="11" t="n">
        <x:v>60</x:v>
      </x:c>
      <x:c r="I6" s="11" t="n">
        <x:v>22</x:v>
      </x:c>
      <x:c r="J6" s="17" t="n">
        <x:v>2.0964396429785722e-9</x:v>
      </x:c>
      <x:c r="K6" s="17" t="n">
        <x:v>2.0964396429785724e-8</x:v>
      </x:c>
      <x:c r="L6" s="2" t="str">
        <x:f>IF(K6&lt;0.05,"是","否")</x:f>
        <x:v>是</x:v>
      </x:c>
    </x:row>
    <x:row r="7" ht="30" customHeight="1">
      <x:c r="A7" s="13" t="str">
        <x:v>D1 懂业务:理解医疗业务流程与临床运行规律</x:v>
      </x:c>
      <x:c r="B7" s="13" t="str">
        <x:v>D3 善管理:具备运营管理与综合协调能力</x:v>
      </x:c>
      <x:c r="C7" s="11" t="n">
        <x:v>162</x:v>
      </x:c>
      <x:c r="D7" s="16" t="n">
        <x:v>0.20987654320987653</x:v>
      </x:c>
      <x:c r="E7" s="16" t="n">
        <x:v>0.06372070908842112</x:v>
      </x:c>
      <x:c r="F7" s="16" t="n">
        <x:v>0.356032377331332</x:v>
      </x:c>
      <x:c r="G7" s="11" t="n">
        <x:v>50</x:v>
      </x:c>
      <x:c r="H7" s="11" t="n">
        <x:v>91</x:v>
      </x:c>
      <x:c r="I7" s="11" t="n">
        <x:v>21</x:v>
      </x:c>
      <x:c r="J7" s="17" t="n">
        <x:v>0.006367230999479244</x:v>
      </x:c>
      <x:c r="K7" s="17" t="n">
        <x:v>0.01061205166579874</x:v>
      </x:c>
      <x:c r="L7" s="2" t="str">
        <x:f>IF(K7&lt;0.05,"是","否")</x:f>
        <x:v>是</x:v>
      </x:c>
    </x:row>
    <x:row r="8" ht="30" customHeight="1">
      <x:c r="A8" s="13" t="str">
        <x:v>D1 懂业务:理解医疗业务流程与临床运行规律</x:v>
      </x:c>
      <x:c r="B8" s="13" t="str">
        <x:v>D4 会数据:具备数字化工具与数据分析能力</x:v>
      </x:c>
      <x:c r="C8" s="11" t="n">
        <x:v>162</x:v>
      </x:c>
      <x:c r="D8" s="16" t="n">
        <x:v>0.1728395061728395</x:v>
      </x:c>
      <x:c r="E8" s="16" t="n">
        <x:v>0.0055527561357743005</x:v>
      </x:c>
      <x:c r="F8" s="16" t="n">
        <x:v>0.34012625620990466</x:v>
      </x:c>
      <x:c r="G8" s="11" t="n">
        <x:v>47</x:v>
      </x:c>
      <x:c r="H8" s="11" t="n">
        <x:v>88</x:v>
      </x:c>
      <x:c r="I8" s="11" t="n">
        <x:v>27</x:v>
      </x:c>
      <x:c r="J8" s="17" t="n">
        <x:v>0.050494602730465854</x:v>
      </x:c>
      <x:c r="K8" s="17" t="n">
        <x:v>0.07213514675780837</x:v>
      </x:c>
      <x:c r="L8" s="2" t="str">
        <x:f>IF(K8&lt;0.05,"是","否")</x:f>
        <x:v>否</x:v>
      </x:c>
    </x:row>
    <x:row r="9" ht="30" customHeight="1">
      <x:c r="A9" s="13" t="str">
        <x:v>D1 懂业务:理解医疗业务流程与临床运行规律</x:v>
      </x:c>
      <x:c r="B9" s="13" t="str">
        <x:v>D5 防风险:具备内控、审计与合规监督能力</x:v>
      </x:c>
      <x:c r="C9" s="11" t="n">
        <x:v>162</x:v>
      </x:c>
      <x:c r="D9" s="16" t="n">
        <x:v>0.2839506172839506</x:v>
      </x:c>
      <x:c r="E9" s="16" t="n">
        <x:v>0.1038469563896954</x:v>
      </x:c>
      <x:c r="F9" s="16" t="n">
        <x:v>0.46405427817820577</x:v>
      </x:c>
      <x:c r="G9" s="11" t="n">
        <x:v>57</x:v>
      </x:c>
      <x:c r="H9" s="11" t="n">
        <x:v>79</x:v>
      </x:c>
      <x:c r="I9" s="11" t="n">
        <x:v>26</x:v>
      </x:c>
      <x:c r="J9" s="17" t="n">
        <x:v>0.0026190237484317227</x:v>
      </x:c>
      <x:c r="K9" s="17" t="n">
        <x:v>0.005238047496863445</x:v>
      </x:c>
      <x:c r="L9" s="2" t="str">
        <x:f>IF(K9&lt;0.05,"是","否")</x:f>
        <x:v>是</x:v>
      </x:c>
    </x:row>
    <x:row r="10" ht="30" customHeight="1">
      <x:c r="A10" s="13" t="str">
        <x:v>D2 通财务:掌握财务、预算、成本专业知识</x:v>
      </x:c>
      <x:c r="B10" s="13" t="str">
        <x:v>D3 善管理:具备运营管理与综合协调能力</x:v>
      </x:c>
      <x:c r="C10" s="11" t="n">
        <x:v>162</x:v>
      </x:c>
      <x:c r="D10" s="16" t="n">
        <x:v>-0.43209876543209874</x:v>
      </x:c>
      <x:c r="E10" s="16" t="n">
        <x:v>-0.5797249286949486</x:v>
      </x:c>
      <x:c r="F10" s="16" t="n">
        <x:v>-0.2844726021692489</x:v>
      </x:c>
      <x:c r="G10" s="11" t="n">
        <x:v>18</x:v>
      </x:c>
      <x:c r="H10" s="11" t="n">
        <x:v>79</x:v>
      </x:c>
      <x:c r="I10" s="11" t="n">
        <x:v>65</x:v>
      </x:c>
      <x:c r="J10" s="17" t="n">
        <x:v>3.009662015752236e-8</x:v>
      </x:c>
      <x:c r="K10" s="17" t="n">
        <x:v>1.504831007876118e-7</x:v>
      </x:c>
      <x:c r="L10" s="2" t="str">
        <x:f>IF(K10&lt;0.05,"是","否")</x:f>
        <x:v>是</x:v>
      </x:c>
    </x:row>
    <x:row r="11" ht="30" customHeight="1">
      <x:c r="A11" s="13" t="str">
        <x:v>D2 通财务:掌握财务、预算、成本专业知识</x:v>
      </x:c>
      <x:c r="B11" s="13" t="str">
        <x:v>D4 会数据:具备数字化工具与数据分析能力</x:v>
      </x:c>
      <x:c r="C11" s="11" t="n">
        <x:v>162</x:v>
      </x:c>
      <x:c r="D11" s="16" t="n">
        <x:v>-0.4691358024691358</x:v>
      </x:c>
      <x:c r="E11" s="16" t="n">
        <x:v>-0.6555254353300488</x:v>
      </x:c>
      <x:c r="F11" s="16" t="n">
        <x:v>-0.28274616960822274</x:v>
      </x:c>
      <x:c r="G11" s="11" t="n">
        <x:v>23</x:v>
      </x:c>
      <x:c r="H11" s="11" t="n">
        <x:v>68</x:v>
      </x:c>
      <x:c r="I11" s="11" t="n">
        <x:v>71</x:v>
      </x:c>
      <x:c r="J11" s="17" t="n">
        <x:v>0.000002000518176121743</x:v>
      </x:c>
      <x:c r="K11" s="17" t="n">
        <x:v>0.00000666839392040581</x:v>
      </x:c>
      <x:c r="L11" s="2" t="str">
        <x:f>IF(K11&lt;0.05,"是","否")</x:f>
        <x:v>是</x:v>
      </x:c>
    </x:row>
    <x:row r="12" ht="30" customHeight="1">
      <x:c r="A12" s="13" t="str">
        <x:v>D2 通财务:掌握财务、预算、成本专业知识</x:v>
      </x:c>
      <x:c r="B12" s="13" t="str">
        <x:v>D5 防风险:具备内控、审计与合规监督能力</x:v>
      </x:c>
      <x:c r="C12" s="11" t="n">
        <x:v>162</x:v>
      </x:c>
      <x:c r="D12" s="16" t="n">
        <x:v>-0.35802469135802467</x:v>
      </x:c>
      <x:c r="E12" s="16" t="n">
        <x:v>-0.5074035610760641</x:v>
      </x:c>
      <x:c r="F12" s="16" t="n">
        <x:v>-0.20864582163998524</x:v>
      </x:c>
      <x:c r="G12" s="11" t="n">
        <x:v>19</x:v>
      </x:c>
      <x:c r="H12" s="11" t="n">
        <x:v>80</x:v>
      </x:c>
      <x:c r="I12" s="11" t="n">
        <x:v>63</x:v>
      </x:c>
      <x:c r="J12" s="17" t="n">
        <x:v>0.000004285967420538862</x:v>
      </x:c>
      <x:c r="K12" s="17" t="n">
        <x:v>0.000010714918551347156</x:v>
      </x:c>
      <x:c r="L12" s="2" t="str">
        <x:f>IF(K12&lt;0.05,"是","否")</x:f>
        <x:v>是</x:v>
      </x:c>
    </x:row>
    <x:row r="13" ht="30" customHeight="1">
      <x:c r="A13" s="13" t="str">
        <x:v>D3 善管理:具备运营管理与综合协调能力</x:v>
      </x:c>
      <x:c r="B13" s="13" t="str">
        <x:v>D4 会数据:具备数字化工具与数据分析能力</x:v>
      </x:c>
      <x:c r="C13" s="11" t="n">
        <x:v>162</x:v>
      </x:c>
      <x:c r="D13" s="16" t="n">
        <x:v>-0.037037037037037035</x:v>
      </x:c>
      <x:c r="E13" s="16" t="n">
        <x:v>-0.16515548541550354</x:v>
      </x:c>
      <x:c r="F13" s="16" t="n">
        <x:v>0.09108141134142947</x:v>
      </x:c>
      <x:c r="G13" s="11" t="n">
        <x:v>24</x:v>
      </x:c>
      <x:c r="H13" s="11" t="n">
        <x:v>105</x:v>
      </x:c>
      <x:c r="I13" s="11" t="n">
        <x:v>33</x:v>
      </x:c>
      <x:c r="J13" s="17" t="n">
        <x:v>0.6368364497404151</x:v>
      </x:c>
      <x:c r="K13" s="17" t="n">
        <x:v>0.6368364497404151</x:v>
      </x:c>
      <x:c r="L13" s="2" t="str">
        <x:f>IF(K13&lt;0.05,"是","否")</x:f>
        <x:v>否</x:v>
      </x:c>
    </x:row>
    <x:row r="14" ht="30" customHeight="1">
      <x:c r="A14" s="13" t="str">
        <x:v>D3 善管理:具备运营管理与综合协调能力</x:v>
      </x:c>
      <x:c r="B14" s="13" t="str">
        <x:v>D5 防风险:具备内控、审计与合规监督能力</x:v>
      </x:c>
      <x:c r="C14" s="11" t="n">
        <x:v>162</x:v>
      </x:c>
      <x:c r="D14" s="16" t="n">
        <x:v>0.07407407407407407</x:v>
      </x:c>
      <x:c r="E14" s="16" t="n">
        <x:v>-0.04888310594804651</x:v>
      </x:c>
      <x:c r="F14" s="16" t="n">
        <x:v>0.19703125409619465</x:v>
      </x:c>
      <x:c r="G14" s="11" t="n">
        <x:v>32</x:v>
      </x:c>
      <x:c r="H14" s="11" t="n">
        <x:v>104</x:v>
      </x:c>
      <x:c r="I14" s="11" t="n">
        <x:v>26</x:v>
      </x:c>
      <x:c r="J14" s="17" t="n">
        <x:v>0.27902342293714416</x:v>
      </x:c>
      <x:c r="K14" s="17" t="n">
        <x:v>0.31002602548571573</x:v>
      </x:c>
      <x:c r="L14" s="2" t="str">
        <x:f>IF(K14&lt;0.05,"是","否")</x:f>
        <x:v>否</x:v>
      </x:c>
    </x:row>
    <x:row r="15" ht="30" customHeight="1">
      <x:c r="A15" s="13" t="str">
        <x:v>D4 会数据:具备数字化工具与数据分析能力</x:v>
      </x:c>
      <x:c r="B15" s="13" t="str">
        <x:v>D5 防风险:具备内控、审计与合规监督能力</x:v>
      </x:c>
      <x:c r="C15" s="11" t="n">
        <x:v>162</x:v>
      </x:c>
      <x:c r="D15" s="16" t="n">
        <x:v>0.1111111111111111</x:v>
      </x:c>
      <x:c r="E15" s="16" t="n">
        <x:v>-0.039645458504203646</x:v>
      </x:c>
      <x:c r="F15" s="16" t="n">
        <x:v>0.26186768072642586</x:v>
      </x:c>
      <x:c r="G15" s="11" t="n">
        <x:v>41</x:v>
      </x:c>
      <x:c r="H15" s="11" t="n">
        <x:v>93</x:v>
      </x:c>
      <x:c r="I15" s="11" t="n">
        <x:v>28</x:v>
      </x:c>
      <x:c r="J15" s="17" t="n">
        <x:v>0.1714559741667744</x:v>
      </x:c>
      <x:c r="K15" s="17" t="n">
        <x:v>0.214319967708468</x:v>
      </x:c>
      <x:c r="L15" s="2" t="str">
        <x:f>IF(K15&lt;0.05,"是","否")</x:f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c84b2cd2699c4c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9" hidden="0" customWidth="1"/>
    <x:col min="4" max="4" width="9" hidden="0" customWidth="1"/>
    <x:col min="5" max="5" width="10.5" hidden="0" customWidth="1"/>
    <x:col min="6" max="6" width="11.5" hidden="0" customWidth="1"/>
    <x:col min="7" max="7" width="14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质量标记与地域构成敏感性</x:v>
      </x:c>
      <x:c r="B2" s="4"/>
      <x:c r="C2" s="4"/>
      <x:c r="D2" s="4"/>
      <x:c r="E2" s="4"/>
      <x:c r="F2" s="4"/>
      <x:c r="G2" s="4"/>
    </x:row>
    <x:row r="3" ht="24" customHeight="1">
      <x:c r="A3" s="5" t="str">
        <x:v>主分析保留162份。质量情景剔除小于300秒或59量表全同分共6份；地域情景仅检验样本构成影响。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分析情景</x:v>
      </x:c>
      <x:c r="B5" s="9" t="str">
        <x:v>指标</x:v>
      </x:c>
      <x:c r="C5" s="9" t="str">
        <x:v>人数</x:v>
      </x:c>
      <x:c r="D5" s="9" t="str">
        <x:v>分母</x:v>
      </x:c>
      <x:c r="E5" s="9" t="str">
        <x:v>比例</x:v>
      </x:c>
      <x:c r="F5" s="9" t="str">
        <x:v>全样本比例</x:v>
      </x:c>
      <x:c r="G5" s="9" t="str">
        <x:v>变化（百分点）</x:v>
      </x:c>
    </x:row>
    <x:row r="6" ht="30" customHeight="1">
      <x:c r="A6" s="13" t="str">
        <x:v>全样本</x:v>
      </x:c>
      <x:c r="B6" s="13" t="str">
        <x:v>数智课程高需求</x:v>
      </x:c>
      <x:c r="C6" s="11" t="n">
        <x:v>156</x:v>
      </x:c>
      <x:c r="D6" s="11" t="n">
        <x:v>162</x:v>
      </x:c>
      <x:c r="E6" s="12" t="n">
        <x:f>C6/D6</x:f>
        <x:v>0.9629629629629629</x:v>
      </x:c>
      <x:c r="F6" s="12" t="n">
        <x:f>E6</x:f>
        <x:v>0.9629629629629629</x:v>
      </x:c>
      <x:c r="G6" s="14" t="n">
        <x:f>100*(E6-F6)</x:f>
        <x:v>0</x:v>
      </x:c>
    </x:row>
    <x:row r="7" ht="30" customHeight="1">
      <x:c r="A7" s="13" t="str">
        <x:v>全样本</x:v>
      </x:c>
      <x:c r="B7" s="13" t="str">
        <x:v>跟岗进入前三</x:v>
      </x:c>
      <x:c r="C7" s="11" t="n">
        <x:v>125</x:v>
      </x:c>
      <x:c r="D7" s="11" t="n">
        <x:v>162</x:v>
      </x:c>
      <x:c r="E7" s="12" t="n">
        <x:f>C7/D7</x:f>
        <x:v>0.7716049382716049</x:v>
      </x:c>
      <x:c r="F7" s="12" t="n">
        <x:f>E7</x:f>
        <x:v>0.7716049382716049</x:v>
      </x:c>
      <x:c r="G7" s="14" t="n">
        <x:f>100*(E7-F7)</x:f>
        <x:v>0</x:v>
      </x:c>
    </x:row>
    <x:row r="8" ht="30" customHeight="1">
      <x:c r="A8" s="13" t="str">
        <x:v>全样本</x:v>
      </x:c>
      <x:c r="B8" s="13" t="str">
        <x:v>缺乏培训后跟踪</x:v>
      </x:c>
      <x:c r="C8" s="11" t="n">
        <x:v>108</x:v>
      </x:c>
      <x:c r="D8" s="11" t="n">
        <x:v>162</x:v>
      </x:c>
      <x:c r="E8" s="12" t="n">
        <x:f>C8/D8</x:f>
        <x:v>0.6666666666666666</x:v>
      </x:c>
      <x:c r="F8" s="12" t="n">
        <x:f>E8</x:f>
        <x:v>0.6666666666666666</x:v>
      </x:c>
      <x:c r="G8" s="14" t="n">
        <x:f>100*(E8-F8)</x:f>
        <x:v>0</x:v>
      </x:c>
    </x:row>
    <x:row r="9" ht="30" customHeight="1">
      <x:c r="A9" s="13" t="str">
        <x:v>全样本</x:v>
      </x:c>
      <x:c r="B9" s="13" t="str">
        <x:v>业务能力高差距</x:v>
      </x:c>
      <x:c r="C9" s="11" t="n">
        <x:v>66</x:v>
      </x:c>
      <x:c r="D9" s="11" t="n">
        <x:v>162</x:v>
      </x:c>
      <x:c r="E9" s="12" t="n">
        <x:f>C9/D9</x:f>
        <x:v>0.4074074074074074</x:v>
      </x:c>
      <x:c r="F9" s="12" t="n">
        <x:f>E9</x:f>
        <x:v>0.4074074074074074</x:v>
      </x:c>
      <x:c r="G9" s="14" t="n">
        <x:f>100*(E9-F9)</x:f>
        <x:v>0</x:v>
      </x:c>
    </x:row>
    <x:row r="10" ht="30" customHeight="1">
      <x:c r="A10" s="13" t="str">
        <x:v>全样本</x:v>
      </x:c>
      <x:c r="B10" s="13" t="str">
        <x:v>数据能力高差距</x:v>
      </x:c>
      <x:c r="C10" s="11" t="n">
        <x:v>57</x:v>
      </x:c>
      <x:c r="D10" s="11" t="n">
        <x:v>162</x:v>
      </x:c>
      <x:c r="E10" s="12" t="n">
        <x:f>C10/D10</x:f>
        <x:v>0.35185185185185186</x:v>
      </x:c>
      <x:c r="F10" s="12" t="n">
        <x:f>E10</x:f>
        <x:v>0.35185185185185186</x:v>
      </x:c>
      <x:c r="G10" s="14" t="n">
        <x:f>100*(E10-F10)</x:f>
        <x:v>0</x:v>
      </x:c>
    </x:row>
    <x:row r="11" ht="30" customHeight="1">
      <x:c r="A11" s="13" t="str">
        <x:v>全样本</x:v>
      </x:c>
      <x:c r="B11" s="13" t="str">
        <x:v>无系统评估</x:v>
      </x:c>
      <x:c r="C11" s="11" t="n">
        <x:v>85</x:v>
      </x:c>
      <x:c r="D11" s="11" t="n">
        <x:v>162</x:v>
      </x:c>
      <x:c r="E11" s="12" t="n">
        <x:f>C11/D11</x:f>
        <x:v>0.5246913580246914</x:v>
      </x:c>
      <x:c r="F11" s="12" t="n">
        <x:f>E11</x:f>
        <x:v>0.5246913580246914</x:v>
      </x:c>
      <x:c r="G11" s="14" t="n">
        <x:f>100*(E11-F11)</x:f>
        <x:v>0</x:v>
      </x:c>
    </x:row>
    <x:row r="12" ht="30" customHeight="1">
      <x:c r="A12" s="13" t="str">
        <x:v>剔除快速或全量表同分</x:v>
      </x:c>
      <x:c r="B12" s="13" t="str">
        <x:v>数智课程高需求</x:v>
      </x:c>
      <x:c r="C12" s="11" t="n">
        <x:v>150</x:v>
      </x:c>
      <x:c r="D12" s="11" t="n">
        <x:v>156</x:v>
      </x:c>
      <x:c r="E12" s="12" t="n">
        <x:f>C12/D12</x:f>
        <x:v>0.9615384615384616</x:v>
      </x:c>
      <x:c r="F12" s="12" t="n">
        <x:f>E6</x:f>
        <x:v>0.9629629629629629</x:v>
      </x:c>
      <x:c r="G12" s="14" t="n">
        <x:f>100*(E12-F12)</x:f>
        <x:v>-0.14245014245013454</x:v>
      </x:c>
    </x:row>
    <x:row r="13" ht="30" customHeight="1">
      <x:c r="A13" s="13" t="str">
        <x:v>剔除快速或全量表同分</x:v>
      </x:c>
      <x:c r="B13" s="13" t="str">
        <x:v>跟岗进入前三</x:v>
      </x:c>
      <x:c r="C13" s="11" t="n">
        <x:v>120</x:v>
      </x:c>
      <x:c r="D13" s="11" t="n">
        <x:v>156</x:v>
      </x:c>
      <x:c r="E13" s="12" t="n">
        <x:f>C13/D13</x:f>
        <x:v>0.7692307692307693</x:v>
      </x:c>
      <x:c r="F13" s="12" t="n">
        <x:f>E7</x:f>
        <x:v>0.7716049382716049</x:v>
      </x:c>
      <x:c r="G13" s="14" t="n">
        <x:f>100*(E13-F13)</x:f>
        <x:v>-0.23741690408356497</x:v>
      </x:c>
    </x:row>
    <x:row r="14" ht="30" customHeight="1">
      <x:c r="A14" s="13" t="str">
        <x:v>剔除快速或全量表同分</x:v>
      </x:c>
      <x:c r="B14" s="13" t="str">
        <x:v>缺乏培训后跟踪</x:v>
      </x:c>
      <x:c r="C14" s="11" t="n">
        <x:v>104</x:v>
      </x:c>
      <x:c r="D14" s="11" t="n">
        <x:v>156</x:v>
      </x:c>
      <x:c r="E14" s="12" t="n">
        <x:f>C14/D14</x:f>
        <x:v>0.6666666666666666</x:v>
      </x:c>
      <x:c r="F14" s="12" t="n">
        <x:f>E8</x:f>
        <x:v>0.6666666666666666</x:v>
      </x:c>
      <x:c r="G14" s="14" t="n">
        <x:f>100*(E14-F14)</x:f>
        <x:v>0</x:v>
      </x:c>
    </x:row>
    <x:row r="15" ht="30" customHeight="1">
      <x:c r="A15" s="13" t="str">
        <x:v>剔除快速或全量表同分</x:v>
      </x:c>
      <x:c r="B15" s="13" t="str">
        <x:v>业务能力高差距</x:v>
      </x:c>
      <x:c r="C15" s="11" t="n">
        <x:v>60</x:v>
      </x:c>
      <x:c r="D15" s="11" t="n">
        <x:v>156</x:v>
      </x:c>
      <x:c r="E15" s="12" t="n">
        <x:f>C15/D15</x:f>
        <x:v>0.38461538461538464</x:v>
      </x:c>
      <x:c r="F15" s="12" t="n">
        <x:f>E9</x:f>
        <x:v>0.4074074074074074</x:v>
      </x:c>
      <x:c r="G15" s="14" t="n">
        <x:f>100*(E15-F15)</x:f>
        <x:v>-2.279202279202275</x:v>
      </x:c>
    </x:row>
    <x:row r="16" ht="30" customHeight="1">
      <x:c r="A16" s="13" t="str">
        <x:v>剔除快速或全量表同分</x:v>
      </x:c>
      <x:c r="B16" s="13" t="str">
        <x:v>数据能力高差距</x:v>
      </x:c>
      <x:c r="C16" s="11" t="n">
        <x:v>51</x:v>
      </x:c>
      <x:c r="D16" s="11" t="n">
        <x:v>156</x:v>
      </x:c>
      <x:c r="E16" s="12" t="n">
        <x:f>C16/D16</x:f>
        <x:v>0.3269230769230769</x:v>
      </x:c>
      <x:c r="F16" s="12" t="n">
        <x:f>E10</x:f>
        <x:v>0.35185185185185186</x:v>
      </x:c>
      <x:c r="G16" s="14" t="n">
        <x:f>100*(E16-F16)</x:f>
        <x:v>-2.4928774928774935</x:v>
      </x:c>
    </x:row>
    <x:row r="17" ht="30" customHeight="1">
      <x:c r="A17" s="13" t="str">
        <x:v>剔除快速或全量表同分</x:v>
      </x:c>
      <x:c r="B17" s="13" t="str">
        <x:v>无系统评估</x:v>
      </x:c>
      <x:c r="C17" s="11" t="n">
        <x:v>84</x:v>
      </x:c>
      <x:c r="D17" s="11" t="n">
        <x:v>156</x:v>
      </x:c>
      <x:c r="E17" s="12" t="n">
        <x:f>C17/D17</x:f>
        <x:v>0.5384615384615384</x:v>
      </x:c>
      <x:c r="F17" s="12" t="n">
        <x:f>E11</x:f>
        <x:v>0.5246913580246914</x:v>
      </x:c>
      <x:c r="G17" s="14" t="n">
        <x:f>100*(E17-F17)</x:f>
        <x:v>1.377018043684708</x:v>
      </x:c>
    </x:row>
    <x:row r="18" ht="30" customHeight="1">
      <x:c r="A18" s="13" t="str">
        <x:v>去除江苏与河南</x:v>
      </x:c>
      <x:c r="B18" s="13" t="str">
        <x:v>数智课程高需求</x:v>
      </x:c>
      <x:c r="C18" s="11" t="n">
        <x:v>87</x:v>
      </x:c>
      <x:c r="D18" s="11" t="n">
        <x:v>91</x:v>
      </x:c>
      <x:c r="E18" s="12" t="n">
        <x:f>C18/D18</x:f>
        <x:v>0.9560439560439561</x:v>
      </x:c>
      <x:c r="F18" s="12" t="n">
        <x:f>E6</x:f>
        <x:v>0.9629629629629629</x:v>
      </x:c>
      <x:c r="G18" s="14" t="n">
        <x:f>100*(E18-F18)</x:f>
        <x:v>-0.691900691900682</x:v>
      </x:c>
    </x:row>
    <x:row r="19" ht="30" customHeight="1">
      <x:c r="A19" s="13" t="str">
        <x:v>去除江苏与河南</x:v>
      </x:c>
      <x:c r="B19" s="13" t="str">
        <x:v>跟岗进入前三</x:v>
      </x:c>
      <x:c r="C19" s="11" t="n">
        <x:v>70</x:v>
      </x:c>
      <x:c r="D19" s="11" t="n">
        <x:v>91</x:v>
      </x:c>
      <x:c r="E19" s="12" t="n">
        <x:f>C19/D19</x:f>
        <x:v>0.7692307692307693</x:v>
      </x:c>
      <x:c r="F19" s="12" t="n">
        <x:f>E7</x:f>
        <x:v>0.7716049382716049</x:v>
      </x:c>
      <x:c r="G19" s="14" t="n">
        <x:f>100*(E19-F19)</x:f>
        <x:v>-0.23741690408356497</x:v>
      </x:c>
    </x:row>
    <x:row r="20" ht="30" customHeight="1">
      <x:c r="A20" s="13" t="str">
        <x:v>去除江苏与河南</x:v>
      </x:c>
      <x:c r="B20" s="13" t="str">
        <x:v>缺乏培训后跟踪</x:v>
      </x:c>
      <x:c r="C20" s="11" t="n">
        <x:v>58</x:v>
      </x:c>
      <x:c r="D20" s="11" t="n">
        <x:v>91</x:v>
      </x:c>
      <x:c r="E20" s="12" t="n">
        <x:f>C20/D20</x:f>
        <x:v>0.6373626373626373</x:v>
      </x:c>
      <x:c r="F20" s="12" t="n">
        <x:f>E8</x:f>
        <x:v>0.6666666666666666</x:v>
      </x:c>
      <x:c r="G20" s="14" t="n">
        <x:f>100*(E20-F20)</x:f>
        <x:v>-2.930402930402931</x:v>
      </x:c>
    </x:row>
    <x:row r="21" ht="30" customHeight="1">
      <x:c r="A21" s="13" t="str">
        <x:v>去除江苏与河南</x:v>
      </x:c>
      <x:c r="B21" s="13" t="str">
        <x:v>业务能力高差距</x:v>
      </x:c>
      <x:c r="C21" s="11" t="n">
        <x:v>34</x:v>
      </x:c>
      <x:c r="D21" s="11" t="n">
        <x:v>91</x:v>
      </x:c>
      <x:c r="E21" s="12" t="n">
        <x:f>C21/D21</x:f>
        <x:v>0.37362637362637363</x:v>
      </x:c>
      <x:c r="F21" s="12" t="n">
        <x:f>E9</x:f>
        <x:v>0.4074074074074074</x:v>
      </x:c>
      <x:c r="G21" s="14" t="n">
        <x:f>100*(E21-F21)</x:f>
        <x:v>-3.3781033781033756</x:v>
      </x:c>
    </x:row>
    <x:row r="22" ht="30" customHeight="1">
      <x:c r="A22" s="13" t="str">
        <x:v>去除江苏与河南</x:v>
      </x:c>
      <x:c r="B22" s="13" t="str">
        <x:v>数据能力高差距</x:v>
      </x:c>
      <x:c r="C22" s="11" t="n">
        <x:v>25</x:v>
      </x:c>
      <x:c r="D22" s="11" t="n">
        <x:v>91</x:v>
      </x:c>
      <x:c r="E22" s="12" t="n">
        <x:f>C22/D22</x:f>
        <x:v>0.27472527472527475</x:v>
      </x:c>
      <x:c r="F22" s="12" t="n">
        <x:f>E10</x:f>
        <x:v>0.35185185185185186</x:v>
      </x:c>
      <x:c r="G22" s="14" t="n">
        <x:f>100*(E22-F22)</x:f>
        <x:v>-7.712657712657711</x:v>
      </x:c>
    </x:row>
    <x:row r="23" ht="30" customHeight="1">
      <x:c r="A23" s="13" t="str">
        <x:v>去除江苏与河南</x:v>
      </x:c>
      <x:c r="B23" s="13" t="str">
        <x:v>无系统评估</x:v>
      </x:c>
      <x:c r="C23" s="11" t="n">
        <x:v>47</x:v>
      </x:c>
      <x:c r="D23" s="11" t="n">
        <x:v>91</x:v>
      </x:c>
      <x:c r="E23" s="12" t="n">
        <x:f>C23/D23</x:f>
        <x:v>0.5164835164835165</x:v>
      </x:c>
      <x:c r="F23" s="12" t="n">
        <x:f>E11</x:f>
        <x:v>0.5246913580246914</x:v>
      </x:c>
      <x:c r="G23" s="14" t="n">
        <x:f>100*(E23-F23)</x:f>
        <x:v>-0.8207841541174821</x:v>
      </x:c>
    </x:row>
  </x:sheetData>
  <x:pageMargins left="0.7" right="0.7" top="0.75" bottom="0.75" header="0.3" footer="0.3"/>
  <x:tableParts count="1">
    <x:tablePart xmlns:r="http://schemas.openxmlformats.org/officeDocument/2006/relationships" r:id="R08e70552fb34450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1.5" hidden="0" customWidth="1"/>
    <x:col min="5" max="5" width="12.5" hidden="0" customWidth="1"/>
    <x:col min="6" max="6" width="16" hidden="0" customWidth="1"/>
    <x:col min="7" max="7" width="1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Q11人数结构：一致性与异常值敏感性</x:v>
      </x:c>
      <x:c r="B2" s="4"/>
      <x:c r="C2" s="4"/>
      <x:c r="D2" s="4"/>
      <x:c r="E2" s="4"/>
      <x:c r="F2" s="4"/>
      <x:c r="G2" s="4"/>
    </x:row>
    <x:row r="3" ht="24" customHeight="1">
      <x:c r="A3" s="5" t="str">
        <x:v>分项和相等及IQR筛选为敏感性口径，不替代原始值。IQR上界102；计数比不是独立人员总体构成。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结构</x:v>
      </x:c>
      <x:c r="B5" s="9" t="str">
        <x:v>处理情景</x:v>
      </x:c>
      <x:c r="C5" s="9" t="str">
        <x:v>结构项目</x:v>
      </x:c>
      <x:c r="D5" s="9" t="str">
        <x:v>有效答卷数</x:v>
      </x:c>
      <x:c r="E5" s="9" t="str">
        <x:v>项目填报计数</x:v>
      </x:c>
      <x:c r="F5" s="9" t="str">
        <x:v>同记录总人数计数</x:v>
      </x:c>
      <x:c r="G5" s="9" t="str">
        <x:v>计数比</x:v>
      </x:c>
    </x:row>
    <x:row r="6" ht="30" customHeight="1">
      <x:c r="A6" s="2" t="str">
        <x:v>学历</x:v>
      </x:c>
      <x:c r="B6" s="13" t="str">
        <x:v>分项完整</x:v>
      </x:c>
      <x:c r="C6" s="13" t="str">
        <x:v>(2)人;其中:博士___</x:v>
      </x:c>
      <x:c r="D6" s="11" t="n">
        <x:v>85</x:v>
      </x:c>
      <x:c r="E6" s="11" t="n">
        <x:v>510</x:v>
      </x:c>
      <x:c r="F6" s="11" t="n">
        <x:v>9546</x:v>
      </x:c>
      <x:c r="G6" s="12" t="n">
        <x:f>IF(F6=0,"n.a.",E6/F6)</x:f>
        <x:v>0.05342551854179761</x:v>
      </x:c>
    </x:row>
    <x:row r="7" ht="30" customHeight="1">
      <x:c r="A7" s="2" t="str">
        <x:v>学历</x:v>
      </x:c>
      <x:c r="B7" s="13" t="str">
        <x:v>分项完整</x:v>
      </x:c>
      <x:c r="C7" s="13" t="str">
        <x:v>(3)人  硕士___</x:v>
      </x:c>
      <x:c r="D7" s="11" t="n">
        <x:v>85</x:v>
      </x:c>
      <x:c r="E7" s="11" t="n">
        <x:v>1842</x:v>
      </x:c>
      <x:c r="F7" s="11" t="n">
        <x:v>9546</x:v>
      </x:c>
      <x:c r="G7" s="12" t="n">
        <x:f>IF(F7=0,"n.a.",E7/F7)</x:f>
        <x:v>0.19296040226272784</x:v>
      </x:c>
    </x:row>
    <x:row r="8" ht="30" customHeight="1">
      <x:c r="A8" s="2" t="str">
        <x:v>学历</x:v>
      </x:c>
      <x:c r="B8" s="13" t="str">
        <x:v>分项完整</x:v>
      </x:c>
      <x:c r="C8" s="13" t="str">
        <x:v>(4)人  本科___</x:v>
      </x:c>
      <x:c r="D8" s="11" t="n">
        <x:v>85</x:v>
      </x:c>
      <x:c r="E8" s="11" t="n">
        <x:v>5521</x:v>
      </x:c>
      <x:c r="F8" s="11" t="n">
        <x:v>9546</x:v>
      </x:c>
      <x:c r="G8" s="12" t="n">
        <x:f>IF(F8=0,"n.a.",E8/F8)</x:f>
        <x:v>0.5783574271946365</x:v>
      </x:c>
    </x:row>
    <x:row r="9" ht="30" customHeight="1">
      <x:c r="A9" s="2" t="str">
        <x:v>学历</x:v>
      </x:c>
      <x:c r="B9" s="13" t="str">
        <x:v>分项完整</x:v>
      </x:c>
      <x:c r="C9" s="13" t="str">
        <x:v>(5)人  大专及以下___</x:v>
      </x:c>
      <x:c r="D9" s="11" t="n">
        <x:v>85</x:v>
      </x:c>
      <x:c r="E9" s="11" t="n">
        <x:v>1655</x:v>
      </x:c>
      <x:c r="F9" s="11" t="n">
        <x:v>9546</x:v>
      </x:c>
      <x:c r="G9" s="12" t="n">
        <x:f>IF(F9=0,"n.a.",E9/F9)</x:f>
        <x:v>0.17337104546406873</x:v>
      </x:c>
    </x:row>
    <x:row r="10" ht="30" customHeight="1">
      <x:c r="A10" s="2" t="str">
        <x:v>学历</x:v>
      </x:c>
      <x:c r="B10" s="13" t="str">
        <x:v>分项和等于总人数</x:v>
      </x:c>
      <x:c r="C10" s="13" t="str">
        <x:v>(2)人;其中:博士___</x:v>
      </x:c>
      <x:c r="D10" s="11" t="n">
        <x:v>73</x:v>
      </x:c>
      <x:c r="E10" s="11" t="n">
        <x:v>503</x:v>
      </x:c>
      <x:c r="F10" s="11" t="n">
        <x:v>9166</x:v>
      </x:c>
      <x:c r="G10" s="12" t="n">
        <x:f>IF(F10=0,"n.a.",E10/F10)</x:f>
        <x:v>0.05487671830678595</x:v>
      </x:c>
    </x:row>
    <x:row r="11" ht="30" customHeight="1">
      <x:c r="A11" s="2" t="str">
        <x:v>学历</x:v>
      </x:c>
      <x:c r="B11" s="13" t="str">
        <x:v>分项和等于总人数</x:v>
      </x:c>
      <x:c r="C11" s="13" t="str">
        <x:v>(3)人  硕士___</x:v>
      </x:c>
      <x:c r="D11" s="11" t="n">
        <x:v>73</x:v>
      </x:c>
      <x:c r="E11" s="11" t="n">
        <x:v>1743</x:v>
      </x:c>
      <x:c r="F11" s="11" t="n">
        <x:v>9166</x:v>
      </x:c>
      <x:c r="G11" s="12" t="n">
        <x:f>IF(F11=0,"n.a.",E11/F11)</x:f>
        <x:v>0.1901592843115863</x:v>
      </x:c>
    </x:row>
    <x:row r="12" ht="30" customHeight="1">
      <x:c r="A12" s="2" t="str">
        <x:v>学历</x:v>
      </x:c>
      <x:c r="B12" s="13" t="str">
        <x:v>分项和等于总人数</x:v>
      </x:c>
      <x:c r="C12" s="13" t="str">
        <x:v>(4)人  本科___</x:v>
      </x:c>
      <x:c r="D12" s="11" t="n">
        <x:v>73</x:v>
      </x:c>
      <x:c r="E12" s="11" t="n">
        <x:v>5317</x:v>
      </x:c>
      <x:c r="F12" s="11" t="n">
        <x:v>9166</x:v>
      </x:c>
      <x:c r="G12" s="12" t="n">
        <x:f>IF(F12=0,"n.a.",E12/F12)</x:f>
        <x:v>0.5800785511673576</x:v>
      </x:c>
    </x:row>
    <x:row r="13" ht="30" customHeight="1">
      <x:c r="A13" s="2" t="str">
        <x:v>学历</x:v>
      </x:c>
      <x:c r="B13" s="13" t="str">
        <x:v>分项和等于总人数</x:v>
      </x:c>
      <x:c r="C13" s="13" t="str">
        <x:v>(5)人  大专及以下___</x:v>
      </x:c>
      <x:c r="D13" s="11" t="n">
        <x:v>73</x:v>
      </x:c>
      <x:c r="E13" s="11" t="n">
        <x:v>1603</x:v>
      </x:c>
      <x:c r="F13" s="11" t="n">
        <x:v>9166</x:v>
      </x:c>
      <x:c r="G13" s="12" t="n">
        <x:f>IF(F13=0,"n.a.",E13/F13)</x:f>
        <x:v>0.17488544621427013</x:v>
      </x:c>
    </x:row>
    <x:row r="14" ht="30" customHeight="1">
      <x:c r="A14" s="2" t="str">
        <x:v>学历</x:v>
      </x:c>
      <x:c r="B14" s="13" t="str">
        <x:v>相等且总人数不超IQR上界</x:v>
      </x:c>
      <x:c r="C14" s="13" t="str">
        <x:v>(2)人;其中:博士___</x:v>
      </x:c>
      <x:c r="D14" s="11" t="n">
        <x:v>69</x:v>
      </x:c>
      <x:c r="E14" s="11" t="n">
        <x:v>3</x:v>
      </x:c>
      <x:c r="F14" s="11" t="n">
        <x:v>2129</x:v>
      </x:c>
      <x:c r="G14" s="12" t="n">
        <x:f>IF(F14=0,"n.a.",E14/F14)</x:f>
        <x:v>0.0014091122592766556</x:v>
      </x:c>
    </x:row>
    <x:row r="15" ht="30" customHeight="1">
      <x:c r="A15" s="2" t="str">
        <x:v>学历</x:v>
      </x:c>
      <x:c r="B15" s="13" t="str">
        <x:v>相等且总人数不超IQR上界</x:v>
      </x:c>
      <x:c r="C15" s="13" t="str">
        <x:v>(3)人  硕士___</x:v>
      </x:c>
      <x:c r="D15" s="11" t="n">
        <x:v>69</x:v>
      </x:c>
      <x:c r="E15" s="11" t="n">
        <x:v>389</x:v>
      </x:c>
      <x:c r="F15" s="11" t="n">
        <x:v>2129</x:v>
      </x:c>
      <x:c r="G15" s="12" t="n">
        <x:f>IF(F15=0,"n.a.",E15/F15)</x:f>
        <x:v>0.1827148896195397</x:v>
      </x:c>
    </x:row>
    <x:row r="16" ht="30" customHeight="1">
      <x:c r="A16" s="2" t="str">
        <x:v>学历</x:v>
      </x:c>
      <x:c r="B16" s="13" t="str">
        <x:v>相等且总人数不超IQR上界</x:v>
      </x:c>
      <x:c r="C16" s="13" t="str">
        <x:v>(4)人  本科___</x:v>
      </x:c>
      <x:c r="D16" s="11" t="n">
        <x:v>69</x:v>
      </x:c>
      <x:c r="E16" s="11" t="n">
        <x:v>1498</x:v>
      </x:c>
      <x:c r="F16" s="11" t="n">
        <x:v>2129</x:v>
      </x:c>
      <x:c r="G16" s="12" t="n">
        <x:f>IF(F16=0,"n.a.",E16/F16)</x:f>
        <x:v>0.7036167214654767</x:v>
      </x:c>
    </x:row>
    <x:row r="17" ht="30" customHeight="1">
      <x:c r="A17" s="2" t="str">
        <x:v>学历</x:v>
      </x:c>
      <x:c r="B17" s="13" t="str">
        <x:v>相等且总人数不超IQR上界</x:v>
      </x:c>
      <x:c r="C17" s="13" t="str">
        <x:v>(5)人  大专及以下___</x:v>
      </x:c>
      <x:c r="D17" s="11" t="n">
        <x:v>69</x:v>
      </x:c>
      <x:c r="E17" s="11" t="n">
        <x:v>239</x:v>
      </x:c>
      <x:c r="F17" s="11" t="n">
        <x:v>2129</x:v>
      </x:c>
      <x:c r="G17" s="12" t="n">
        <x:f>IF(F17=0,"n.a.",E17/F17)</x:f>
        <x:v>0.11225927665570691</x:v>
      </x:c>
    </x:row>
    <x:row r="18" ht="30" customHeight="1">
      <x:c r="A18" s="2" t="str">
        <x:v>职称</x:v>
      </x:c>
      <x:c r="B18" s="13" t="str">
        <x:v>分项完整</x:v>
      </x:c>
      <x:c r="C18" s="13" t="str">
        <x:v>(6)人 、 职称:正高级___</x:v>
      </x:c>
      <x:c r="D18" s="11" t="n">
        <x:v>86</x:v>
      </x:c>
      <x:c r="E18" s="11" t="n">
        <x:v>473</x:v>
      </x:c>
      <x:c r="F18" s="11" t="n">
        <x:v>9615</x:v>
      </x:c>
      <x:c r="G18" s="12" t="n">
        <x:f>IF(F18=0,"n.a.",E18/F18)</x:f>
        <x:v>0.04919396775871035</x:v>
      </x:c>
    </x:row>
    <x:row r="19" ht="30" customHeight="1">
      <x:c r="A19" s="2" t="str">
        <x:v>职称</x:v>
      </x:c>
      <x:c r="B19" s="13" t="str">
        <x:v>分项完整</x:v>
      </x:c>
      <x:c r="C19" s="13" t="str">
        <x:v>(7)人  副高级___</x:v>
      </x:c>
      <x:c r="D19" s="11" t="n">
        <x:v>86</x:v>
      </x:c>
      <x:c r="E19" s="11" t="n">
        <x:v>1527</x:v>
      </x:c>
      <x:c r="F19" s="11" t="n">
        <x:v>9615</x:v>
      </x:c>
      <x:c r="G19" s="12" t="n">
        <x:f>IF(F19=0,"n.a.",E19/F19)</x:f>
        <x:v>0.15881435257410295</x:v>
      </x:c>
    </x:row>
    <x:row r="20" ht="30" customHeight="1">
      <x:c r="A20" s="2" t="str">
        <x:v>职称</x:v>
      </x:c>
      <x:c r="B20" s="13" t="str">
        <x:v>分项完整</x:v>
      </x:c>
      <x:c r="C20" s="13" t="str">
        <x:v>(8)人  中级___</x:v>
      </x:c>
      <x:c r="D20" s="11" t="n">
        <x:v>86</x:v>
      </x:c>
      <x:c r="E20" s="11" t="n">
        <x:v>3072</x:v>
      </x:c>
      <x:c r="F20" s="11" t="n">
        <x:v>9615</x:v>
      </x:c>
      <x:c r="G20" s="12" t="n">
        <x:f>IF(F20=0,"n.a.",E20/F20)</x:f>
        <x:v>0.31950078003120125</x:v>
      </x:c>
    </x:row>
    <x:row r="21" ht="30" customHeight="1">
      <x:c r="A21" s="2" t="str">
        <x:v>职称</x:v>
      </x:c>
      <x:c r="B21" s="13" t="str">
        <x:v>分项完整</x:v>
      </x:c>
      <x:c r="C21" s="13" t="str">
        <x:v>(9)人  初级及以下___</x:v>
      </x:c>
      <x:c r="D21" s="11" t="n">
        <x:v>86</x:v>
      </x:c>
      <x:c r="E21" s="11" t="n">
        <x:v>4104</x:v>
      </x:c>
      <x:c r="F21" s="11" t="n">
        <x:v>9615</x:v>
      </x:c>
      <x:c r="G21" s="12" t="n">
        <x:f>IF(F21=0,"n.a.",E21/F21)</x:f>
        <x:v>0.4268330733229329</x:v>
      </x:c>
    </x:row>
    <x:row r="22" ht="30" customHeight="1">
      <x:c r="A22" s="2" t="str">
        <x:v>职称</x:v>
      </x:c>
      <x:c r="B22" s="13" t="str">
        <x:v>分项和等于总人数</x:v>
      </x:c>
      <x:c r="C22" s="13" t="str">
        <x:v>(6)人 、 职称:正高级___</x:v>
      </x:c>
      <x:c r="D22" s="11" t="n">
        <x:v>67</x:v>
      </x:c>
      <x:c r="E22" s="11" t="n">
        <x:v>449</x:v>
      </x:c>
      <x:c r="F22" s="11" t="n">
        <x:v>8449</x:v>
      </x:c>
      <x:c r="G22" s="12" t="n">
        <x:f>IF(F22=0,"n.a.",E22/F22)</x:f>
        <x:v>0.053142383714049</x:v>
      </x:c>
    </x:row>
    <x:row r="23" ht="30" customHeight="1">
      <x:c r="A23" s="2" t="str">
        <x:v>职称</x:v>
      </x:c>
      <x:c r="B23" s="13" t="str">
        <x:v>分项和等于总人数</x:v>
      </x:c>
      <x:c r="C23" s="13" t="str">
        <x:v>(7)人  副高级___</x:v>
      </x:c>
      <x:c r="D23" s="11" t="n">
        <x:v>67</x:v>
      </x:c>
      <x:c r="E23" s="11" t="n">
        <x:v>1440</x:v>
      </x:c>
      <x:c r="F23" s="11" t="n">
        <x:v>8449</x:v>
      </x:c>
      <x:c r="G23" s="12" t="n">
        <x:f>IF(F23=0,"n.a.",E23/F23)</x:f>
        <x:v>0.17043437093147118</x:v>
      </x:c>
    </x:row>
    <x:row r="24" ht="30" customHeight="1">
      <x:c r="A24" s="2" t="str">
        <x:v>职称</x:v>
      </x:c>
      <x:c r="B24" s="13" t="str">
        <x:v>分项和等于总人数</x:v>
      </x:c>
      <x:c r="C24" s="13" t="str">
        <x:v>(8)人  中级___</x:v>
      </x:c>
      <x:c r="D24" s="11" t="n">
        <x:v>67</x:v>
      </x:c>
      <x:c r="E24" s="11" t="n">
        <x:v>2763</x:v>
      </x:c>
      <x:c r="F24" s="11" t="n">
        <x:v>8449</x:v>
      </x:c>
      <x:c r="G24" s="12" t="n">
        <x:f>IF(F24=0,"n.a.",E24/F24)</x:f>
        <x:v>0.3270209492247603</x:v>
      </x:c>
    </x:row>
    <x:row r="25" ht="30" customHeight="1">
      <x:c r="A25" s="2" t="str">
        <x:v>职称</x:v>
      </x:c>
      <x:c r="B25" s="13" t="str">
        <x:v>分项和等于总人数</x:v>
      </x:c>
      <x:c r="C25" s="13" t="str">
        <x:v>(9)人  初级及以下___</x:v>
      </x:c>
      <x:c r="D25" s="11" t="n">
        <x:v>67</x:v>
      </x:c>
      <x:c r="E25" s="11" t="n">
        <x:v>3797</x:v>
      </x:c>
      <x:c r="F25" s="11" t="n">
        <x:v>8449</x:v>
      </x:c>
      <x:c r="G25" s="12" t="n">
        <x:f>IF(F25=0,"n.a.",E25/F25)</x:f>
        <x:v>0.4494022961297195</x:v>
      </x:c>
    </x:row>
    <x:row r="26" ht="30" customHeight="1">
      <x:c r="A26" s="2" t="str">
        <x:v>职称</x:v>
      </x:c>
      <x:c r="B26" s="13" t="str">
        <x:v>相等且总人数不超IQR上界</x:v>
      </x:c>
      <x:c r="C26" s="13" t="str">
        <x:v>(6)人 、 职称:正高级___</x:v>
      </x:c>
      <x:c r="D26" s="11" t="n">
        <x:v>64</x:v>
      </x:c>
      <x:c r="E26" s="11" t="n">
        <x:v>80</x:v>
      </x:c>
      <x:c r="F26" s="11" t="n">
        <x:v>1918</x:v>
      </x:c>
      <x:c r="G26" s="12" t="n">
        <x:f>IF(F26=0,"n.a.",E26/F26)</x:f>
        <x:v>0.04171011470281543</x:v>
      </x:c>
    </x:row>
    <x:row r="27" ht="30" customHeight="1">
      <x:c r="A27" s="2" t="str">
        <x:v>职称</x:v>
      </x:c>
      <x:c r="B27" s="13" t="str">
        <x:v>相等且总人数不超IQR上界</x:v>
      </x:c>
      <x:c r="C27" s="13" t="str">
        <x:v>(7)人  副高级___</x:v>
      </x:c>
      <x:c r="D27" s="11" t="n">
        <x:v>64</x:v>
      </x:c>
      <x:c r="E27" s="11" t="n">
        <x:v>278</x:v>
      </x:c>
      <x:c r="F27" s="11" t="n">
        <x:v>1918</x:v>
      </x:c>
      <x:c r="G27" s="12" t="n">
        <x:f>IF(F27=0,"n.a.",E27/F27)</x:f>
        <x:v>0.14494264859228362</x:v>
      </x:c>
    </x:row>
    <x:row r="28" ht="30" customHeight="1">
      <x:c r="A28" s="2" t="str">
        <x:v>职称</x:v>
      </x:c>
      <x:c r="B28" s="13" t="str">
        <x:v>相等且总人数不超IQR上界</x:v>
      </x:c>
      <x:c r="C28" s="13" t="str">
        <x:v>(8)人  中级___</x:v>
      </x:c>
      <x:c r="D28" s="11" t="n">
        <x:v>64</x:v>
      </x:c>
      <x:c r="E28" s="11" t="n">
        <x:v>691</x:v>
      </x:c>
      <x:c r="F28" s="11" t="n">
        <x:v>1918</x:v>
      </x:c>
      <x:c r="G28" s="12" t="n">
        <x:f>IF(F28=0,"n.a.",E28/F28)</x:f>
        <x:v>0.3602711157455683</x:v>
      </x:c>
    </x:row>
    <x:row r="29" ht="30" customHeight="1">
      <x:c r="A29" s="2" t="str">
        <x:v>职称</x:v>
      </x:c>
      <x:c r="B29" s="13" t="str">
        <x:v>相等且总人数不超IQR上界</x:v>
      </x:c>
      <x:c r="C29" s="13" t="str">
        <x:v>(9)人  初级及以下___</x:v>
      </x:c>
      <x:c r="D29" s="11" t="n">
        <x:v>64</x:v>
      </x:c>
      <x:c r="E29" s="11" t="n">
        <x:v>869</x:v>
      </x:c>
      <x:c r="F29" s="11" t="n">
        <x:v>1918</x:v>
      </x:c>
      <x:c r="G29" s="12" t="n">
        <x:f>IF(F29=0,"n.a.",E29/F29)</x:f>
        <x:v>0.45307612095933264</x:v>
      </x:c>
    </x:row>
    <x:row r="30" ht="30" customHeight="1">
      <x:c r="A30" s="2" t="str">
        <x:v>专业</x:v>
      </x:c>
      <x:c r="B30" s="13" t="str">
        <x:v>分项完整</x:v>
      </x:c>
      <x:c r="C30" s="13" t="str">
        <x:v>(10)人 、专业背景:财会审计类___</x:v>
      </x:c>
      <x:c r="D30" s="11" t="n">
        <x:v>80</x:v>
      </x:c>
      <x:c r="E30" s="11" t="n">
        <x:v>1771</x:v>
      </x:c>
      <x:c r="F30" s="11" t="n">
        <x:v>9389</x:v>
      </x:c>
      <x:c r="G30" s="12" t="n">
        <x:f>IF(F30=0,"n.a.",E30/F30)</x:f>
        <x:v>0.1886249866865481</x:v>
      </x:c>
    </x:row>
    <x:row r="31" ht="30" customHeight="1">
      <x:c r="A31" s="2" t="str">
        <x:v>专业</x:v>
      </x:c>
      <x:c r="B31" s="13" t="str">
        <x:v>分项完整</x:v>
      </x:c>
      <x:c r="C31" s="13" t="str">
        <x:v>(11)人  医疗/护理类___</x:v>
      </x:c>
      <x:c r="D31" s="11" t="n">
        <x:v>80</x:v>
      </x:c>
      <x:c r="E31" s="11" t="n">
        <x:v>5488</x:v>
      </x:c>
      <x:c r="F31" s="11" t="n">
        <x:v>9389</x:v>
      </x:c>
      <x:c r="G31" s="12" t="n">
        <x:f>IF(F31=0,"n.a.",E31/F31)</x:f>
        <x:v>0.5845137927361806</x:v>
      </x:c>
    </x:row>
    <x:row r="32" ht="30" customHeight="1">
      <x:c r="A32" s="2" t="str">
        <x:v>专业</x:v>
      </x:c>
      <x:c r="B32" s="13" t="str">
        <x:v>分项完整</x:v>
      </x:c>
      <x:c r="C32" s="13" t="str">
        <x:v>(12)人  卫生管理类___</x:v>
      </x:c>
      <x:c r="D32" s="11" t="n">
        <x:v>80</x:v>
      </x:c>
      <x:c r="E32" s="11" t="n">
        <x:v>592</x:v>
      </x:c>
      <x:c r="F32" s="11" t="n">
        <x:v>9389</x:v>
      </x:c>
      <x:c r="G32" s="12" t="n">
        <x:f>IF(F32=0,"n.a.",E32/F32)</x:f>
        <x:v>0.06305250825434018</x:v>
      </x:c>
    </x:row>
    <x:row r="33" ht="30" customHeight="1">
      <x:c r="A33" s="2" t="str">
        <x:v>专业</x:v>
      </x:c>
      <x:c r="B33" s="13" t="str">
        <x:v>分项完整</x:v>
      </x:c>
      <x:c r="C33" s="13" t="str">
        <x:v>(13)人  信息技术类___</x:v>
      </x:c>
      <x:c r="D33" s="11" t="n">
        <x:v>80</x:v>
      </x:c>
      <x:c r="E33" s="11" t="n">
        <x:v>290</x:v>
      </x:c>
      <x:c r="F33" s="11" t="n">
        <x:v>9389</x:v>
      </x:c>
      <x:c r="G33" s="12" t="n">
        <x:f>IF(F33=0,"n.a.",E33/F33)</x:f>
        <x:v>0.030887208435403133</x:v>
      </x:c>
    </x:row>
    <x:row r="34" ht="30" customHeight="1">
      <x:c r="A34" s="2" t="str">
        <x:v>专业</x:v>
      </x:c>
      <x:c r="B34" s="13" t="str">
        <x:v>分项完整</x:v>
      </x:c>
      <x:c r="C34" s="13" t="str">
        <x:v>(14)人  经济金融类___</x:v>
      </x:c>
      <x:c r="D34" s="11" t="n">
        <x:v>80</x:v>
      </x:c>
      <x:c r="E34" s="11" t="n">
        <x:v>174</x:v>
      </x:c>
      <x:c r="F34" s="11" t="n">
        <x:v>9389</x:v>
      </x:c>
      <x:c r="G34" s="12" t="n">
        <x:f>IF(F34=0,"n.a.",E34/F34)</x:f>
        <x:v>0.01853232506124188</x:v>
      </x:c>
    </x:row>
    <x:row r="35" ht="36" customHeight="1">
      <x:c r="A35" s="2" t="str">
        <x:v>专业</x:v>
      </x:c>
      <x:c r="B35" s="13" t="str">
        <x:v>分项完整</x:v>
      </x:c>
      <x:c r="C35" s="13" t="str">
        <x:v>(15)人  其他___人  （如不清楚，可不填写）</x:v>
      </x:c>
      <x:c r="D35" s="11" t="n">
        <x:v>80</x:v>
      </x:c>
      <x:c r="E35" s="11" t="n">
        <x:v>942</x:v>
      </x:c>
      <x:c r="F35" s="11" t="n">
        <x:v>9389</x:v>
      </x:c>
      <x:c r="G35" s="12" t="n">
        <x:f>IF(F35=0,"n.a.",E35/F35)</x:f>
        <x:v>0.10033017360741293</x:v>
      </x:c>
    </x:row>
    <x:row r="36" ht="30" customHeight="1">
      <x:c r="A36" s="2" t="str">
        <x:v>专业</x:v>
      </x:c>
      <x:c r="B36" s="13" t="str">
        <x:v>分项和等于总人数</x:v>
      </x:c>
      <x:c r="C36" s="13" t="str">
        <x:v>(10)人 、专业背景:财会审计类___</x:v>
      </x:c>
      <x:c r="D36" s="11" t="n">
        <x:v>65</x:v>
      </x:c>
      <x:c r="E36" s="11" t="n">
        <x:v>1405</x:v>
      </x:c>
      <x:c r="F36" s="11" t="n">
        <x:v>3619</x:v>
      </x:c>
      <x:c r="G36" s="12" t="n">
        <x:f>IF(F36=0,"n.a.",E36/F36)</x:f>
        <x:v>0.38822879248411163</x:v>
      </x:c>
    </x:row>
    <x:row r="37" ht="30" customHeight="1">
      <x:c r="A37" s="2" t="str">
        <x:v>专业</x:v>
      </x:c>
      <x:c r="B37" s="13" t="str">
        <x:v>分项和等于总人数</x:v>
      </x:c>
      <x:c r="C37" s="13" t="str">
        <x:v>(11)人  医疗/护理类___</x:v>
      </x:c>
      <x:c r="D37" s="11" t="n">
        <x:v>65</x:v>
      </x:c>
      <x:c r="E37" s="11" t="n">
        <x:v>1365</x:v>
      </x:c>
      <x:c r="F37" s="11" t="n">
        <x:v>3619</x:v>
      </x:c>
      <x:c r="G37" s="12" t="n">
        <x:f>IF(F37=0,"n.a.",E37/F37)</x:f>
        <x:v>0.3771760154738878</x:v>
      </x:c>
    </x:row>
    <x:row r="38" ht="30" customHeight="1">
      <x:c r="A38" s="2" t="str">
        <x:v>专业</x:v>
      </x:c>
      <x:c r="B38" s="13" t="str">
        <x:v>分项和等于总人数</x:v>
      </x:c>
      <x:c r="C38" s="13" t="str">
        <x:v>(12)人  卫生管理类___</x:v>
      </x:c>
      <x:c r="D38" s="11" t="n">
        <x:v>65</x:v>
      </x:c>
      <x:c r="E38" s="11" t="n">
        <x:v>251</x:v>
      </x:c>
      <x:c r="F38" s="11" t="n">
        <x:v>3619</x:v>
      </x:c>
      <x:c r="G38" s="12" t="n">
        <x:f>IF(F38=0,"n.a.",E38/F38)</x:f>
        <x:v>0.06935617573915447</x:v>
      </x:c>
    </x:row>
    <x:row r="39" ht="30" customHeight="1">
      <x:c r="A39" s="2" t="str">
        <x:v>专业</x:v>
      </x:c>
      <x:c r="B39" s="13" t="str">
        <x:v>分项和等于总人数</x:v>
      </x:c>
      <x:c r="C39" s="13" t="str">
        <x:v>(13)人  信息技术类___</x:v>
      </x:c>
      <x:c r="D39" s="11" t="n">
        <x:v>65</x:v>
      </x:c>
      <x:c r="E39" s="11" t="n">
        <x:v>82</x:v>
      </x:c>
      <x:c r="F39" s="11" t="n">
        <x:v>3619</x:v>
      </x:c>
      <x:c r="G39" s="12" t="n">
        <x:f>IF(F39=0,"n.a.",E39/F39)</x:f>
        <x:v>0.02265819287095883</x:v>
      </x:c>
    </x:row>
    <x:row r="40" ht="30" customHeight="1">
      <x:c r="A40" s="2" t="str">
        <x:v>专业</x:v>
      </x:c>
      <x:c r="B40" s="13" t="str">
        <x:v>分项和等于总人数</x:v>
      </x:c>
      <x:c r="C40" s="13" t="str">
        <x:v>(14)人  经济金融类___</x:v>
      </x:c>
      <x:c r="D40" s="11" t="n">
        <x:v>65</x:v>
      </x:c>
      <x:c r="E40" s="11" t="n">
        <x:v>85</x:v>
      </x:c>
      <x:c r="F40" s="11" t="n">
        <x:v>3619</x:v>
      </x:c>
      <x:c r="G40" s="12" t="n">
        <x:f>IF(F40=0,"n.a.",E40/F40)</x:f>
        <x:v>0.023487151146725616</x:v>
      </x:c>
    </x:row>
    <x:row r="41" ht="36" customHeight="1">
      <x:c r="A41" s="2" t="str">
        <x:v>专业</x:v>
      </x:c>
      <x:c r="B41" s="13" t="str">
        <x:v>分项和等于总人数</x:v>
      </x:c>
      <x:c r="C41" s="13" t="str">
        <x:v>(15)人  其他___人  （如不清楚，可不填写）</x:v>
      </x:c>
      <x:c r="D41" s="11" t="n">
        <x:v>65</x:v>
      </x:c>
      <x:c r="E41" s="11" t="n">
        <x:v>431</x:v>
      </x:c>
      <x:c r="F41" s="11" t="n">
        <x:v>3619</x:v>
      </x:c>
      <x:c r="G41" s="12" t="n">
        <x:f>IF(F41=0,"n.a.",E41/F41)</x:f>
        <x:v>0.11909367228516164</x:v>
      </x:c>
    </x:row>
    <x:row r="42" ht="30" customHeight="1">
      <x:c r="A42" s="2" t="str">
        <x:v>专业</x:v>
      </x:c>
      <x:c r="B42" s="13" t="str">
        <x:v>相等且总人数不超IQR上界</x:v>
      </x:c>
      <x:c r="C42" s="13" t="str">
        <x:v>(10)人 、专业背景:财会审计类___</x:v>
      </x:c>
      <x:c r="D42" s="11" t="n">
        <x:v>62</x:v>
      </x:c>
      <x:c r="E42" s="11" t="n">
        <x:v>1332</x:v>
      </x:c>
      <x:c r="F42" s="11" t="n">
        <x:v>1882</x:v>
      </x:c>
      <x:c r="G42" s="12" t="n">
        <x:f>IF(F42=0,"n.a.",E42/F42)</x:f>
        <x:v>0.7077577045696068</x:v>
      </x:c>
    </x:row>
    <x:row r="43" ht="30" customHeight="1">
      <x:c r="A43" s="2" t="str">
        <x:v>专业</x:v>
      </x:c>
      <x:c r="B43" s="13" t="str">
        <x:v>相等且总人数不超IQR上界</x:v>
      </x:c>
      <x:c r="C43" s="13" t="str">
        <x:v>(11)人  医疗/护理类___</x:v>
      </x:c>
      <x:c r="D43" s="11" t="n">
        <x:v>62</x:v>
      </x:c>
      <x:c r="E43" s="11" t="n">
        <x:v>149</x:v>
      </x:c>
      <x:c r="F43" s="11" t="n">
        <x:v>1882</x:v>
      </x:c>
      <x:c r="G43" s="12" t="n">
        <x:f>IF(F43=0,"n.a.",E43/F43)</x:f>
        <x:v>0.07917109458023379</x:v>
      </x:c>
    </x:row>
    <x:row r="44" ht="30" customHeight="1">
      <x:c r="A44" s="2" t="str">
        <x:v>专业</x:v>
      </x:c>
      <x:c r="B44" s="13" t="str">
        <x:v>相等且总人数不超IQR上界</x:v>
      </x:c>
      <x:c r="C44" s="13" t="str">
        <x:v>(12)人  卫生管理类___</x:v>
      </x:c>
      <x:c r="D44" s="11" t="n">
        <x:v>62</x:v>
      </x:c>
      <x:c r="E44" s="11" t="n">
        <x:v>143</x:v>
      </x:c>
      <x:c r="F44" s="11" t="n">
        <x:v>1882</x:v>
      </x:c>
      <x:c r="G44" s="12" t="n">
        <x:f>IF(F44=0,"n.a.",E44/F44)</x:f>
        <x:v>0.07598299681190224</x:v>
      </x:c>
    </x:row>
    <x:row r="45" ht="30" customHeight="1">
      <x:c r="A45" s="2" t="str">
        <x:v>专业</x:v>
      </x:c>
      <x:c r="B45" s="13" t="str">
        <x:v>相等且总人数不超IQR上界</x:v>
      </x:c>
      <x:c r="C45" s="13" t="str">
        <x:v>(13)人  信息技术类___</x:v>
      </x:c>
      <x:c r="D45" s="11" t="n">
        <x:v>62</x:v>
      </x:c>
      <x:c r="E45" s="11" t="n">
        <x:v>50</x:v>
      </x:c>
      <x:c r="F45" s="11" t="n">
        <x:v>1882</x:v>
      </x:c>
      <x:c r="G45" s="12" t="n">
        <x:f>IF(F45=0,"n.a.",E45/F45)</x:f>
        <x:v>0.026567481402763018</x:v>
      </x:c>
    </x:row>
    <x:row r="46" ht="30" customHeight="1">
      <x:c r="A46" s="2" t="str">
        <x:v>专业</x:v>
      </x:c>
      <x:c r="B46" s="13" t="str">
        <x:v>相等且总人数不超IQR上界</x:v>
      </x:c>
      <x:c r="C46" s="13" t="str">
        <x:v>(14)人  经济金融类___</x:v>
      </x:c>
      <x:c r="D46" s="11" t="n">
        <x:v>62</x:v>
      </x:c>
      <x:c r="E46" s="11" t="n">
        <x:v>80</x:v>
      </x:c>
      <x:c r="F46" s="11" t="n">
        <x:v>1882</x:v>
      </x:c>
      <x:c r="G46" s="12" t="n">
        <x:f>IF(F46=0,"n.a.",E46/F46)</x:f>
        <x:v>0.04250797024442083</x:v>
      </x:c>
    </x:row>
    <x:row r="47" ht="36" customHeight="1">
      <x:c r="A47" s="2" t="str">
        <x:v>专业</x:v>
      </x:c>
      <x:c r="B47" s="13" t="str">
        <x:v>相等且总人数不超IQR上界</x:v>
      </x:c>
      <x:c r="C47" s="13" t="str">
        <x:v>(15)人  其他___人  （如不清楚，可不填写）</x:v>
      </x:c>
      <x:c r="D47" s="11" t="n">
        <x:v>62</x:v>
      </x:c>
      <x:c r="E47" s="11" t="n">
        <x:v>128</x:v>
      </x:c>
      <x:c r="F47" s="11" t="n">
        <x:v>1882</x:v>
      </x:c>
      <x:c r="G47" s="12" t="n">
        <x:f>IF(F47=0,"n.a.",E47/F47)</x:f>
        <x:v>0.06801275239107332</x:v>
      </x:c>
    </x:row>
  </x:sheetData>
  <x:pageMargins left="0.7" right="0.7" top="0.75" bottom="0.75" header="0.3" footer="0.3"/>
  <x:tableParts count="1">
    <x:tablePart xmlns:r="http://schemas.openxmlformats.org/officeDocument/2006/relationships" r:id="R4384919ab84a468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5" hidden="0" customWidth="1"/>
    <x:col min="2" max="2" width="11" hidden="0" customWidth="1"/>
    <x:col min="3" max="3" width="36" hidden="0" customWidth="1"/>
    <x:col min="4" max="4" width="12" hidden="0" customWidth="1"/>
    <x:col min="5" max="5" width="12" hidden="0" customWidth="1"/>
    <x:col min="6" max="6" width="48" hidden="0" customWidth="1"/>
    <x:col min="7" max="7" width="5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逐题分析分母与缺失口径</x:v>
      </x:c>
      <x:c r="B2" s="4"/>
      <x:c r="C2" s="4"/>
      <x:c r="D2" s="4"/>
      <x:c r="E2" s="4"/>
      <x:c r="F2" s="4"/>
      <x:c r="G2" s="4"/>
    </x:row>
    <x:row r="3" ht="24" customHeight="1">
      <x:c r="A3" s="5" t="str">
        <x:v>选填题逐字段缺失见Q11_Q12数值。未选中、未入前三和无实质意见均不自动编码为缺失。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题号</x:v>
      </x:c>
      <x:c r="B5" s="9" t="str">
        <x:v>题型</x:v>
      </x:c>
      <x:c r="C5" s="9" t="str">
        <x:v>问题主题</x:v>
      </x:c>
      <x:c r="D5" s="9" t="str">
        <x:v>有效分析分母</x:v>
      </x:c>
      <x:c r="E5" s="9" t="str">
        <x:v>整题空白数</x:v>
      </x:c>
      <x:c r="F5" s="9" t="str">
        <x:v>分母解释</x:v>
      </x:c>
      <x:c r="G5" s="9" t="str">
        <x:v>主要口径限制</x:v>
      </x:c>
    </x:row>
    <x:row r="6" ht="36" customHeight="1">
      <x:c r="A6" s="2" t="str">
        <x:v>Q1</x:v>
      </x:c>
      <x:c r="B6" s="2" t="str">
        <x:v>地域</x:v>
      </x:c>
      <x:c r="C6" s="13" t="str">
        <x:v>(1)1.贵院所在省份:___</x:v>
      </x:c>
      <x:c r="D6" s="11" t="n">
        <x:v>162</x:v>
      </x:c>
      <x:c r="E6" s="11" t="n">
        <x:v>0</x:v>
      </x:c>
      <x:c r="F6" s="13" t="str">
        <x:v>有效回答者为分母；各选项按题型计数</x:v>
      </x:c>
      <x:c r="G6" s="13" t="str">
        <x:v>仅按省份汇总，统一去除省、市后缀（如江苏省与江苏合并）；不发布城市或省份与个人特征交叉组合，不能据省份数量推断地区代表性。</x:v>
      </x:c>
    </x:row>
    <x:row r="7" ht="36" customHeight="1">
      <x:c r="A7" s="2" t="str">
        <x:v>Q2</x:v>
      </x:c>
      <x:c r="B7" s="2" t="str">
        <x:v>单选</x:v>
      </x:c>
      <x:c r="C7" s="13" t="str">
        <x:v>2.贵院类别（单选）</x:v>
      </x:c>
      <x:c r="D7" s="11" t="n">
        <x:v>162</x:v>
      </x:c>
      <x:c r="E7" s="11" t="n">
        <x:v>0</x:v>
      </x:c>
      <x:c r="F7" s="13" t="str">
        <x:v>有效回答者为分母；各选项按题型计数</x:v>
      </x:c>
      <x:c r="G7" s="13" t="str">
        <x:v>按原题编码和文本标签统计；其他选项中的填写内容不公开。仅展示本样本实际出现的编码。</x:v>
      </x:c>
    </x:row>
    <x:row r="8" ht="36" customHeight="1">
      <x:c r="A8" s="2" t="str">
        <x:v>Q3</x:v>
      </x:c>
      <x:c r="B8" s="2" t="str">
        <x:v>单选</x:v>
      </x:c>
      <x:c r="C8" s="13" t="str">
        <x:v>3.您所在部门（单选）</x:v>
      </x:c>
      <x:c r="D8" s="11" t="n">
        <x:v>162</x:v>
      </x:c>
      <x:c r="E8" s="11" t="n">
        <x:v>0</x:v>
      </x:c>
      <x:c r="F8" s="13" t="str">
        <x:v>有效回答者为分母；各选项按题型计数</x:v>
      </x:c>
      <x:c r="G8" s="13" t="str">
        <x:v>按原题编码和文本标签统计；其他选项中的填写内容不公开。仅展示本样本实际出现的编码。</x:v>
      </x:c>
    </x:row>
    <x:row r="9" ht="36" customHeight="1">
      <x:c r="A9" s="2" t="str">
        <x:v>Q4</x:v>
      </x:c>
      <x:c r="B9" s="2" t="str">
        <x:v>单选</x:v>
      </x:c>
      <x:c r="C9" s="13" t="str">
        <x:v>4.您的职务（单选）</x:v>
      </x:c>
      <x:c r="D9" s="11" t="n">
        <x:v>162</x:v>
      </x:c>
      <x:c r="E9" s="11" t="n">
        <x:v>0</x:v>
      </x:c>
      <x:c r="F9" s="13" t="str">
        <x:v>有效回答者为分母；各选项按题型计数</x:v>
      </x:c>
      <x:c r="G9" s="13" t="str">
        <x:v>按原题编码和文本标签统计；其他选项中的填写内容不公开。仅展示本样本实际出现的编码。</x:v>
      </x:c>
    </x:row>
    <x:row r="10" ht="36" customHeight="1">
      <x:c r="A10" s="2" t="str">
        <x:v>Q5</x:v>
      </x:c>
      <x:c r="B10" s="2" t="str">
        <x:v>单选</x:v>
      </x:c>
      <x:c r="C10" s="13" t="str">
        <x:v>5.您的年龄（单选） </x:v>
      </x:c>
      <x:c r="D10" s="11" t="n">
        <x:v>162</x:v>
      </x:c>
      <x:c r="E10" s="11" t="n">
        <x:v>0</x:v>
      </x:c>
      <x:c r="F10" s="13" t="str">
        <x:v>有效回答者为分母；各选项按题型计数</x:v>
      </x:c>
      <x:c r="G10" s="13" t="str">
        <x:v>按原题编码和文本标签统计；其他选项中的填写内容不公开。仅展示本样本实际出现的编码。</x:v>
      </x:c>
    </x:row>
    <x:row r="11" ht="36" customHeight="1">
      <x:c r="A11" s="2" t="str">
        <x:v>Q6</x:v>
      </x:c>
      <x:c r="B11" s="2" t="str">
        <x:v>单选</x:v>
      </x:c>
      <x:c r="C11" s="13" t="str">
        <x:v>6.您的最高学历（单选）</x:v>
      </x:c>
      <x:c r="D11" s="11" t="n">
        <x:v>162</x:v>
      </x:c>
      <x:c r="E11" s="11" t="n">
        <x:v>0</x:v>
      </x:c>
      <x:c r="F11" s="13" t="str">
        <x:v>有效回答者为分母；各选项按题型计数</x:v>
      </x:c>
      <x:c r="G11" s="13" t="str">
        <x:v>按原题编码和文本标签统计；其他选项中的填写内容不公开。仅展示本样本实际出现的编码。</x:v>
      </x:c>
    </x:row>
    <x:row r="12" ht="36" customHeight="1">
      <x:c r="A12" s="2" t="str">
        <x:v>Q7</x:v>
      </x:c>
      <x:c r="B12" s="2" t="str">
        <x:v>单选</x:v>
      </x:c>
      <x:c r="C12" s="13" t="str">
        <x:v>7.您的专业背景（单选）</x:v>
      </x:c>
      <x:c r="D12" s="11" t="n">
        <x:v>162</x:v>
      </x:c>
      <x:c r="E12" s="11" t="n">
        <x:v>0</x:v>
      </x:c>
      <x:c r="F12" s="13" t="str">
        <x:v>有效回答者为分母；各选项按题型计数</x:v>
      </x:c>
      <x:c r="G12" s="13" t="str">
        <x:v>按原题编码和文本标签统计；其他选项中的填写内容不公开。仅展示本样本实际出现的编码。</x:v>
      </x:c>
    </x:row>
    <x:row r="13" ht="36" customHeight="1">
      <x:c r="A13" s="2" t="str">
        <x:v>Q8</x:v>
      </x:c>
      <x:c r="B13" s="2" t="str">
        <x:v>单选</x:v>
      </x:c>
      <x:c r="C13" s="13" t="str">
        <x:v>8.您的职称（单选） </x:v>
      </x:c>
      <x:c r="D13" s="11" t="n">
        <x:v>162</x:v>
      </x:c>
      <x:c r="E13" s="11" t="n">
        <x:v>0</x:v>
      </x:c>
      <x:c r="F13" s="13" t="str">
        <x:v>有效回答者为分母；各选项按题型计数</x:v>
      </x:c>
      <x:c r="G13" s="13" t="str">
        <x:v>按原题编码和文本标签统计；其他选项中的填写内容不公开。仅展示本样本实际出现的编码。</x:v>
      </x:c>
    </x:row>
    <x:row r="14" ht="36" customHeight="1">
      <x:c r="A14" s="2" t="str">
        <x:v>Q9</x:v>
      </x:c>
      <x:c r="B14" s="2" t="str">
        <x:v>单选</x:v>
      </x:c>
      <x:c r="C14" s="13" t="str">
        <x:v>9.您从事卫生健康经济管理相关工作的年限（单选）</x:v>
      </x:c>
      <x:c r="D14" s="11" t="n">
        <x:v>162</x:v>
      </x:c>
      <x:c r="E14" s="11" t="n">
        <x:v>0</x:v>
      </x:c>
      <x:c r="F14" s="13" t="str">
        <x:v>有效回答者为分母；各选项按题型计数</x:v>
      </x:c>
      <x:c r="G14" s="13" t="str">
        <x:v>按原题编码和文本标签统计；其他选项中的填写内容不公开。仅展示本样本实际出现的编码。</x:v>
      </x:c>
    </x:row>
    <x:row r="15" ht="36" customHeight="1">
      <x:c r="A15" s="2" t="str">
        <x:v>Q10</x:v>
      </x:c>
      <x:c r="B15" s="2" t="str">
        <x:v>是非矩阵</x:v>
      </x:c>
      <x:c r="C15" s="13" t="str">
        <x:v>10.贵院岗位与机构设置情况（分别勾选）—设置总会计师岗位</x:v>
      </x:c>
      <x:c r="D15" s="11" t="n">
        <x:v>162</x:v>
      </x:c>
      <x:c r="E15" s="11" t="n">
        <x:v>0</x:v>
      </x:c>
      <x:c r="F15" s="13" t="str">
        <x:v>有效回答者为分母；各选项按题型计数</x:v>
      </x:c>
      <x:c r="G15" s="13" t="str">
        <x:v>数值编码1=是、2=否，已与文本版交叉核对。</x:v>
      </x:c>
    </x:row>
    <x:row r="16" ht="64" customHeight="1">
      <x:c r="A16" s="2" t="str">
        <x:v>Q11</x:v>
      </x:c>
      <x:c r="B16" s="2" t="str">
        <x:v>选填人数</x:v>
      </x:c>
      <x:c r="C16" s="13" t="str">
        <x:v>(1)11.贵院经济管理人员队伍结构（填写人数，本部分所称经济管理人员，是指总会计师、财务（不含窗口收费人员）、审计、运营、合规、医保、绩效等部门人员，下同。） 在岗总人数___</x:v>
      </x:c>
      <x:c r="D16" s="11" t="n">
        <x:v>100</x:v>
      </x:c>
      <x:c r="E16" s="11" t="n">
        <x:v>60</x:v>
      </x:c>
      <x:c r="F16" s="13" t="str">
        <x:v>此处为至少一项有效数值的答卷数；每个字段另有有效分母，不能互换</x:v>
      </x:c>
      <x:c r="G16" s="13" t="str">
        <x:v>每列使用各自有效非负整数记录；空白与非数值分别报告。计数合计未经医院去重，不能视为独立人员总量。Q12明确允许同人多证。</x:v>
      </x:c>
    </x:row>
    <x:row r="17" ht="50" customHeight="1">
      <x:c r="A17" s="2" t="str">
        <x:v>Q12</x:v>
      </x:c>
      <x:c r="B17" s="2" t="str">
        <x:v>选填人数</x:v>
      </x:c>
      <x:c r="C17" s="13" t="str">
        <x:v>(1)12.贵院经济管理人员中持有会计、审计、经济专业技术资格或CPA/CMA/CIA等职业资格的人员情况（同一人持有多项资格的分别计入） 正高级专业技术资格___</x:v>
      </x:c>
      <x:c r="D17" s="11" t="n">
        <x:v>98</x:v>
      </x:c>
      <x:c r="E17" s="11" t="n">
        <x:v>62</x:v>
      </x:c>
      <x:c r="F17" s="13" t="str">
        <x:v>此处为至少一项有效数值的答卷数；每个字段另有有效分母，不能互换</x:v>
      </x:c>
      <x:c r="G17" s="13" t="str">
        <x:v>每列使用各自有效非负整数记录；空白与非数值分别报告。计数合计未经医院去重，不能视为独立人员总量。Q12明确允许同人多证。</x:v>
      </x:c>
    </x:row>
    <x:row r="18" ht="36" customHeight="1">
      <x:c r="A18" s="2" t="str">
        <x:v>Q13</x:v>
      </x:c>
      <x:c r="B18" s="2" t="str">
        <x:v>单选</x:v>
      </x:c>
      <x:c r="C18" s="13" t="str">
        <x:v>13.贵院经济管理人员配置的充足程度（单选）</x:v>
      </x:c>
      <x:c r="D18" s="11" t="n">
        <x:v>162</x:v>
      </x:c>
      <x:c r="E18" s="11" t="n">
        <x:v>0</x:v>
      </x:c>
      <x:c r="F18" s="13" t="str">
        <x:v>有效回答者为分母；各选项按题型计数</x:v>
      </x:c>
      <x:c r="G18" s="13" t="str">
        <x:v>按原题编码和文本标签统计；其他选项中的填写内容不公开。仅展示本样本实际出现的编码。</x:v>
      </x:c>
    </x:row>
    <x:row r="19" ht="30" customHeight="1">
      <x:c r="A19" s="2" t="str">
        <x:v>Q14</x:v>
      </x:c>
      <x:c r="B19" s="2" t="str">
        <x:v>多选</x:v>
      </x:c>
      <x:c r="C19" s="13" t="str">
        <x:v>14.当前最紧缺的岗位（可多选，最多3项）</x:v>
      </x:c>
      <x:c r="D19" s="11" t="n">
        <x:v>162</x:v>
      </x:c>
      <x:c r="E19" s="11" t="n">
        <x:v>0</x:v>
      </x:c>
      <x:c r="F19" s="13" t="str">
        <x:v>每个选项以162份为分母；比例加总可超过100%；未选中不是缺失</x:v>
      </x:c>
      <x:c r="G19" s="13" t="str">
        <x:v>分母为全部162份答卷；多选比例之和可超过100%。未勾选不能等同独立核实没有。</x:v>
      </x:c>
    </x:row>
    <x:row r="20" ht="36" customHeight="1">
      <x:c r="A20" s="2" t="str">
        <x:v>Q15</x:v>
      </x:c>
      <x:c r="B20" s="2" t="str">
        <x:v>单选</x:v>
      </x:c>
      <x:c r="C20" s="13" t="str">
        <x:v>15.贵院是否建立了经济管理人员培养培训制度并落实到位（单选）</x:v>
      </x:c>
      <x:c r="D20" s="11" t="n">
        <x:v>162</x:v>
      </x:c>
      <x:c r="E20" s="11" t="n">
        <x:v>0</x:v>
      </x:c>
      <x:c r="F20" s="13" t="str">
        <x:v>有效回答者为分母；各选项按题型计数</x:v>
      </x:c>
      <x:c r="G20" s="13" t="str">
        <x:v>按原题编码和文本标签统计；其他选项中的填写内容不公开。仅展示本样本实际出现的编码。</x:v>
      </x:c>
    </x:row>
    <x:row r="21" ht="36" customHeight="1">
      <x:c r="A21" s="2" t="str">
        <x:v>Q16</x:v>
      </x:c>
      <x:c r="B21" s="2" t="str">
        <x:v>单选</x:v>
      </x:c>
      <x:c r="C21" s="13" t="str">
        <x:v>16.贵院经济管理人员年人均培训学时（单选）</x:v>
      </x:c>
      <x:c r="D21" s="11" t="n">
        <x:v>162</x:v>
      </x:c>
      <x:c r="E21" s="11" t="n">
        <x:v>0</x:v>
      </x:c>
      <x:c r="F21" s="13" t="str">
        <x:v>有效回答者为分母；各选项按题型计数</x:v>
      </x:c>
      <x:c r="G21" s="13" t="str">
        <x:v>按原题编码和文本标签统计；其他选项中的填写内容不公开。仅展示本样本实际出现的编码。</x:v>
      </x:c>
    </x:row>
    <x:row r="22" ht="30" customHeight="1">
      <x:c r="A22" s="2" t="str">
        <x:v>Q17</x:v>
      </x:c>
      <x:c r="B22" s="2" t="str">
        <x:v>多选</x:v>
      </x:c>
      <x:c r="C22" s="13" t="str">
        <x:v>17.贵院现有培养培训的内容（可多选）</x:v>
      </x:c>
      <x:c r="D22" s="11" t="n">
        <x:v>162</x:v>
      </x:c>
      <x:c r="E22" s="11" t="n">
        <x:v>0</x:v>
      </x:c>
      <x:c r="F22" s="13" t="str">
        <x:v>每个选项以162份为分母；比例加总可超过100%；未选中不是缺失</x:v>
      </x:c>
      <x:c r="G22" s="13" t="str">
        <x:v>分母为全部162份答卷；多选比例之和可超过100%。未勾选不能等同独立核实没有。</x:v>
      </x:c>
    </x:row>
    <x:row r="23" ht="30" customHeight="1">
      <x:c r="A23" s="2" t="str">
        <x:v>Q18</x:v>
      </x:c>
      <x:c r="B23" s="2" t="str">
        <x:v>多选</x:v>
      </x:c>
      <x:c r="C23" s="13" t="str">
        <x:v>18.贵院现有培养培训的方式（可多选）</x:v>
      </x:c>
      <x:c r="D23" s="11" t="n">
        <x:v>162</x:v>
      </x:c>
      <x:c r="E23" s="11" t="n">
        <x:v>0</x:v>
      </x:c>
      <x:c r="F23" s="13" t="str">
        <x:v>每个选项以162份为分母；比例加总可超过100%；未选中不是缺失</x:v>
      </x:c>
      <x:c r="G23" s="13" t="str">
        <x:v>分母为全部162份答卷；多选比例之和可超过100%。未勾选不能等同独立核实没有。</x:v>
      </x:c>
    </x:row>
    <x:row r="24" ht="36" customHeight="1">
      <x:c r="A24" s="2" t="str">
        <x:v>Q19</x:v>
      </x:c>
      <x:c r="B24" s="2" t="str">
        <x:v>多选</x:v>
      </x:c>
      <x:c r="C24" s="13" t="str">
        <x:v>19.当前培养培训工作存在的主要问题（可多选，最多4项）</x:v>
      </x:c>
      <x:c r="D24" s="11" t="n">
        <x:v>162</x:v>
      </x:c>
      <x:c r="E24" s="11" t="n">
        <x:v>0</x:v>
      </x:c>
      <x:c r="F24" s="13" t="str">
        <x:v>每个选项以162份为分母；比例加总可超过100%；未选中不是缺失</x:v>
      </x:c>
      <x:c r="G24" s="13" t="str">
        <x:v>分母为全部162份答卷；多选比例之和可超过100%。未勾选不能等同独立核实没有。</x:v>
      </x:c>
    </x:row>
    <x:row r="25" ht="36" customHeight="1">
      <x:c r="A25" s="2" t="str">
        <x:v>Q20</x:v>
      </x:c>
      <x:c r="B25" s="2" t="str">
        <x:v>单选</x:v>
      </x:c>
      <x:c r="C25" s="13" t="str">
        <x:v>20.贵院业财融合推进程度（单选） </x:v>
      </x:c>
      <x:c r="D25" s="11" t="n">
        <x:v>162</x:v>
      </x:c>
      <x:c r="E25" s="11" t="n">
        <x:v>0</x:v>
      </x:c>
      <x:c r="F25" s="13" t="str">
        <x:v>有效回答者为分母；各选项按题型计数</x:v>
      </x:c>
      <x:c r="G25" s="13" t="str">
        <x:v>按原题编码和文本标签统计；其他选项中的填写内容不公开。仅展示本样本实际出现的编码。</x:v>
      </x:c>
    </x:row>
    <x:row r="26" ht="30" customHeight="1">
      <x:c r="A26" s="2" t="str">
        <x:v>Q21</x:v>
      </x:c>
      <x:c r="B26" s="2" t="str">
        <x:v>多选</x:v>
      </x:c>
      <x:c r="C26" s="13" t="str">
        <x:v>21.贵院业财融合已实施的管理举措（可多选） </x:v>
      </x:c>
      <x:c r="D26" s="11" t="n">
        <x:v>162</x:v>
      </x:c>
      <x:c r="E26" s="11" t="n">
        <x:v>0</x:v>
      </x:c>
      <x:c r="F26" s="13" t="str">
        <x:v>每个选项以162份为分母；比例加总可超过100%；未选中不是缺失</x:v>
      </x:c>
      <x:c r="G26" s="13" t="str">
        <x:v>分母为全部162份答卷；多选比例之和可超过100%。未勾选不能等同独立核实没有。</x:v>
      </x:c>
    </x:row>
    <x:row r="27" ht="64" customHeight="1">
      <x:c r="A27" s="2" t="str">
        <x:v>Q22</x:v>
      </x:c>
      <x:c r="B27" s="2" t="str">
        <x:v>五级量表</x:v>
      </x:c>
      <x:c r="C27" s="13" t="str">
        <x:v>22.现有队伍与“懂业务、通财务、善管理、会数据、防风险”复合型人才要求的差距有多大?请在相应栏内打“✓”（1=差距很小，5=差距很大） —D1 懂业务:理解医疗业务流程与临床运行规律</x:v>
      </x:c>
      <x:c r="D27" s="11" t="n">
        <x:v>162</x:v>
      </x:c>
      <x:c r="E27" s="11" t="n">
        <x:v>0</x:v>
      </x:c>
      <x:c r="F27" s="13" t="str">
        <x:v>每个子项有效数均为162；不同题锚点不同，不合成一个总分</x:v>
      </x:c>
      <x:c r="G27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28" ht="36" customHeight="1">
      <x:c r="A28" s="2" t="str">
        <x:v>Q23</x:v>
      </x:c>
      <x:c r="B28" s="2" t="str">
        <x:v>前三排序</x:v>
      </x:c>
      <x:c r="C28" s="13" t="str">
        <x:v>23.未来3年贵院最急需的经济管理人才类型（请排序前3位，1=最急需，2=次之，3=再次之）</x:v>
      </x:c>
      <x:c r="D28" s="11" t="n">
        <x:v>162</x:v>
      </x:c>
      <x:c r="E28" s="11" t="n">
        <x:v>0</x:v>
      </x:c>
      <x:c r="F28" s="13" t="str">
        <x:v>162份均恰有唯一名次1、2、3；首选分母162，前三入选分母162</x:v>
      </x:c>
      <x:c r="G28" s="13" t="str">
        <x:v>首选率与前三入选率分别报告；3、2、1加权分仅为透明描述性排序，不是问卷原有量表或已验证效用。</x:v>
      </x:c>
    </x:row>
    <x:row r="29" ht="64" customHeight="1">
      <x:c r="A29" s="2" t="str">
        <x:v>Q24</x:v>
      </x:c>
      <x:c r="B29" s="2" t="str">
        <x:v>五级量表</x:v>
      </x:c>
      <x:c r="C29" s="13" t="str">
        <x:v>24.对分层分类培养模式各层级培养重点的认同程度（1=很不认同，5=很认同），请在相应栏内打“✓” —E1 新入职人员:夯实财务、医疗、管理、信息交叉基础，强化跟岗实训与基本制度规范</x:v>
      </x:c>
      <x:c r="D29" s="11" t="n">
        <x:v>162</x:v>
      </x:c>
      <x:c r="E29" s="11" t="n">
        <x:v>0</x:v>
      </x:c>
      <x:c r="F29" s="13" t="str">
        <x:v>每个子项有效数均为162；不同题锚点不同，不合成一个总分</x:v>
      </x:c>
      <x:c r="G29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30" ht="36" customHeight="1">
      <x:c r="A30" s="2" t="str">
        <x:v>Q25</x:v>
      </x:c>
      <x:c r="B30" s="2" t="str">
        <x:v>前三排序</x:v>
      </x:c>
      <x:c r="C30" s="13" t="str">
        <x:v>25.您认为最有效的培养方式（请选出3项并排序，1=最有效，2=次之，3=再次之）</x:v>
      </x:c>
      <x:c r="D30" s="11" t="n">
        <x:v>162</x:v>
      </x:c>
      <x:c r="E30" s="11" t="n">
        <x:v>0</x:v>
      </x:c>
      <x:c r="F30" s="13" t="str">
        <x:v>162份均恰有唯一名次1、2、3；首选分母162，前三入选分母162</x:v>
      </x:c>
      <x:c r="G30" s="13" t="str">
        <x:v>首选率与前三入选率分别报告；3、2、1加权分仅为透明描述性排序，不是问卷原有量表或已验证效用。</x:v>
      </x:c>
    </x:row>
    <x:row r="31" ht="50" customHeight="1">
      <x:c r="A31" s="2" t="str">
        <x:v>Q26</x:v>
      </x:c>
      <x:c r="B31" s="2" t="str">
        <x:v>五级量表</x:v>
      </x:c>
      <x:c r="C31" s="13" t="str">
        <x:v>26.下列课程模块对人才培养的必要程度（1=很没必要，5=很有必要），请在相应栏内打“✓” —F1 战略管理与领导力</x:v>
      </x:c>
      <x:c r="D31" s="11" t="n">
        <x:v>162</x:v>
      </x:c>
      <x:c r="E31" s="11" t="n">
        <x:v>0</x:v>
      </x:c>
      <x:c r="F31" s="13" t="str">
        <x:v>每个子项有效数均为162；不同题锚点不同，不合成一个总分</x:v>
      </x:c>
      <x:c r="G31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32" ht="50" customHeight="1">
      <x:c r="A32" s="2" t="str">
        <x:v>Q27</x:v>
      </x:c>
      <x:c r="B32" s="2" t="str">
        <x:v>五级量表</x:v>
      </x:c>
      <x:c r="C32" s="13" t="str">
        <x:v>27.下列培养方式对人才培养的支持作用（1=作用很小，5=作用很大），请在相应栏内打“✓” —G1 案例库与教学案例开发</x:v>
      </x:c>
      <x:c r="D32" s="11" t="n">
        <x:v>162</x:v>
      </x:c>
      <x:c r="E32" s="11" t="n">
        <x:v>0</x:v>
      </x:c>
      <x:c r="F32" s="13" t="str">
        <x:v>每个子项有效数均为162；不同题锚点不同，不合成一个总分</x:v>
      </x:c>
      <x:c r="G32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33" ht="30" customHeight="1">
      <x:c r="A33" s="2" t="str">
        <x:v>Q28</x:v>
      </x:c>
      <x:c r="B33" s="2" t="str">
        <x:v>多选</x:v>
      </x:c>
      <x:c r="C33" s="13" t="str">
        <x:v>28.贵院与院校、专业机构的合作形式（可多选） </x:v>
      </x:c>
      <x:c r="D33" s="11" t="n">
        <x:v>162</x:v>
      </x:c>
      <x:c r="E33" s="11" t="n">
        <x:v>0</x:v>
      </x:c>
      <x:c r="F33" s="13" t="str">
        <x:v>每个选项以162份为分母；比例加总可超过100%；未选中不是缺失</x:v>
      </x:c>
      <x:c r="G33" s="13" t="str">
        <x:v>分母为全部162份答卷；多选比例之和可超过100%。未勾选不能等同独立核实没有。</x:v>
      </x:c>
    </x:row>
    <x:row r="34" ht="36" customHeight="1">
      <x:c r="A34" s="2" t="str">
        <x:v>Q29</x:v>
      </x:c>
      <x:c r="B34" s="2" t="str">
        <x:v>单选</x:v>
      </x:c>
      <x:c r="C34" s="13" t="str">
        <x:v>29.贵院与院校、专业机构的 “业务导师+财务导师”双导师制（单选）</x:v>
      </x:c>
      <x:c r="D34" s="11" t="n">
        <x:v>162</x:v>
      </x:c>
      <x:c r="E34" s="11" t="n">
        <x:v>0</x:v>
      </x:c>
      <x:c r="F34" s="13" t="str">
        <x:v>有效回答者为分母；各选项按题型计数</x:v>
      </x:c>
      <x:c r="G34" s="13" t="str">
        <x:v>按原题编码和文本标签统计；其他选项中的填写内容不公开。仅展示本样本实际出现的编码。</x:v>
      </x:c>
    </x:row>
    <x:row r="35" ht="30" customHeight="1">
      <x:c r="A35" s="2" t="str">
        <x:v>Q30</x:v>
      </x:c>
      <x:c r="B35" s="2" t="str">
        <x:v>多选</x:v>
      </x:c>
      <x:c r="C35" s="13" t="str">
        <x:v>30.贵院对培养效果的评估与结果运用方式（可多选）</x:v>
      </x:c>
      <x:c r="D35" s="11" t="n">
        <x:v>162</x:v>
      </x:c>
      <x:c r="E35" s="11" t="n">
        <x:v>0</x:v>
      </x:c>
      <x:c r="F35" s="13" t="str">
        <x:v>每个选项以162份为分母；比例加总可超过100%；未选中不是缺失</x:v>
      </x:c>
      <x:c r="G35" s="13" t="str">
        <x:v>分母为全部162份答卷；多选比例之和可超过100%。未勾选不能等同独立核实没有。</x:v>
      </x:c>
    </x:row>
    <x:row r="36" ht="36" customHeight="1">
      <x:c r="A36" s="2" t="str">
        <x:v>Q31</x:v>
      </x:c>
      <x:c r="B36" s="2" t="str">
        <x:v>单选</x:v>
      </x:c>
      <x:c r="C36" s="13" t="str">
        <x:v>31.您认为经济管理骨干成长为复合型人才所需的合理培养周期（单选）</x:v>
      </x:c>
      <x:c r="D36" s="11" t="n">
        <x:v>162</x:v>
      </x:c>
      <x:c r="E36" s="11" t="n">
        <x:v>0</x:v>
      </x:c>
      <x:c r="F36" s="13" t="str">
        <x:v>有效回答者为分母；各选项按题型计数</x:v>
      </x:c>
      <x:c r="G36" s="13" t="str">
        <x:v>按原题编码和文本标签统计；其他选项中的填写内容不公开。仅展示本样本实际出现的编码。</x:v>
      </x:c>
    </x:row>
    <x:row r="37" ht="50" customHeight="1">
      <x:c r="A37" s="2" t="str">
        <x:v>Q32</x:v>
      </x:c>
      <x:c r="B37" s="2" t="str">
        <x:v>五级量表</x:v>
      </x:c>
      <x:c r="C37" s="13" t="str">
        <x:v>32.下列院内长效保障机制对人才培养落地的重要程度（1=很不重要，5=很重要），请在相应栏内打“✓”—H1 组织领导与归口管理</x:v>
      </x:c>
      <x:c r="D37" s="11" t="n">
        <x:v>162</x:v>
      </x:c>
      <x:c r="E37" s="11" t="n">
        <x:v>0</x:v>
      </x:c>
      <x:c r="F37" s="13" t="str">
        <x:v>每个子项有效数均为162；不同题锚点不同，不合成一个总分</x:v>
      </x:c>
      <x:c r="G37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38" ht="50" customHeight="1">
      <x:c r="A38" s="2" t="str">
        <x:v>Q33</x:v>
      </x:c>
      <x:c r="B38" s="2" t="str">
        <x:v>五级量表</x:v>
      </x:c>
      <x:c r="C38" s="13" t="str">
        <x:v>33.对下列人才培养体系机制建设的认同程度（1=很不支持，5=很支持），请在相应栏内打“✓” —I1 建立分层分类培训体系</x:v>
      </x:c>
      <x:c r="D38" s="11" t="n">
        <x:v>162</x:v>
      </x:c>
      <x:c r="E38" s="11" t="n">
        <x:v>0</x:v>
      </x:c>
      <x:c r="F38" s="13" t="str">
        <x:v>每个子项有效数均为162；不同题锚点不同，不合成一个总分</x:v>
      </x:c>
      <x:c r="G38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39" ht="50" customHeight="1">
      <x:c r="A39" s="2" t="str">
        <x:v>Q34</x:v>
      </x:c>
      <x:c r="B39" s="2" t="str">
        <x:v>五级量表</x:v>
      </x:c>
      <x:c r="C39" s="13" t="str">
        <x:v>34.培养结果与考核激励挂钩方式的选择（单选;下列挂钩方式的必要程度1=很没必要，5=很有必要），请在相应栏内打"✓" —J1 评优评先</x:v>
      </x:c>
      <x:c r="D39" s="11" t="n">
        <x:v>162</x:v>
      </x:c>
      <x:c r="E39" s="11" t="n">
        <x:v>0</x:v>
      </x:c>
      <x:c r="F39" s="13" t="str">
        <x:v>每个子项有效数均为162；不同题锚点不同，不合成一个总分</x:v>
      </x:c>
      <x:c r="G39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0" ht="50" customHeight="1">
      <x:c r="A40" s="2" t="str">
        <x:v>Q35</x:v>
      </x:c>
      <x:c r="B40" s="2" t="str">
        <x:v>五级量表</x:v>
      </x:c>
      <x:c r="C40" s="13" t="str">
        <x:v>35.贵院经济管理人员职业发展通道各环节的畅通程度（1=严重梗阻，5=非常畅通），请在相应栏内打"✓" —K1 职称评审与聘任通道</x:v>
      </x:c>
      <x:c r="D40" s="11" t="n">
        <x:v>162</x:v>
      </x:c>
      <x:c r="E40" s="11" t="n">
        <x:v>0</x:v>
      </x:c>
      <x:c r="F40" s="13" t="str">
        <x:v>每个子项有效数均为162；不同题锚点不同，不合成一个总分</x:v>
      </x:c>
      <x:c r="G40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1" ht="36" customHeight="1">
      <x:c r="A41" s="2" t="str">
        <x:v>Q36</x:v>
      </x:c>
      <x:c r="B41" s="2" t="str">
        <x:v>单选</x:v>
      </x:c>
      <x:c r="C41" s="13" t="str">
        <x:v>36.贵院经济管理人员年人均培训经费（单选）</x:v>
      </x:c>
      <x:c r="D41" s="11" t="n">
        <x:v>162</x:v>
      </x:c>
      <x:c r="E41" s="11" t="n">
        <x:v>0</x:v>
      </x:c>
      <x:c r="F41" s="13" t="str">
        <x:v>有效回答者为分母；各选项按题型计数</x:v>
      </x:c>
      <x:c r="G41" s="13" t="str">
        <x:v>按原题编码和文本标签统计；其他选项中的填写内容不公开。仅展示本样本实际出现的编码。</x:v>
      </x:c>
    </x:row>
    <x:row r="42" ht="30" customHeight="1">
      <x:c r="A42" s="2" t="str">
        <x:v>Q37</x:v>
      </x:c>
      <x:c r="B42" s="2" t="str">
        <x:v>多选</x:v>
      </x:c>
      <x:c r="C42" s="13" t="str">
        <x:v>37.贵院经济管理人员培养经费来源（可多选）</x:v>
      </x:c>
      <x:c r="D42" s="11" t="n">
        <x:v>162</x:v>
      </x:c>
      <x:c r="E42" s="11" t="n">
        <x:v>0</x:v>
      </x:c>
      <x:c r="F42" s="13" t="str">
        <x:v>每个选项以162份为分母；比例加总可超过100%；未选中不是缺失</x:v>
      </x:c>
      <x:c r="G42" s="13" t="str">
        <x:v>分母为全部162份答卷；多选比例之和可超过100%。未勾选不能等同独立核实没有。</x:v>
      </x:c>
    </x:row>
    <x:row r="43" ht="36" customHeight="1">
      <x:c r="A43" s="2" t="str">
        <x:v>Q38</x:v>
      </x:c>
      <x:c r="B43" s="2" t="str">
        <x:v>前三排序</x:v>
      </x:c>
      <x:c r="C43" s="13" t="str">
        <x:v>38.您最希望主管部门出台的政策支持（请排序前3位，1=最迫切，2=次之，3=再次之）</x:v>
      </x:c>
      <x:c r="D43" s="11" t="n">
        <x:v>162</x:v>
      </x:c>
      <x:c r="E43" s="11" t="n">
        <x:v>0</x:v>
      </x:c>
      <x:c r="F43" s="13" t="str">
        <x:v>162份均恰有唯一名次1、2、3；首选分母162，前三入选分母162</x:v>
      </x:c>
      <x:c r="G43" s="13" t="str">
        <x:v>首选率与前三入选率分别报告；3、2、1加权分仅为透明描述性排序，不是问卷原有量表或已验证效用。</x:v>
      </x:c>
    </x:row>
    <x:row r="44" ht="36" customHeight="1">
      <x:c r="A44" s="2" t="str">
        <x:v>Q39</x:v>
      </x:c>
      <x:c r="B44" s="2" t="str">
        <x:v>是非矩阵</x:v>
      </x:c>
      <x:c r="C44" s="13" t="str">
        <x:v>39.贵院人才培养组织管理情况（分别勾选）—成立人才培养领导小组</x:v>
      </x:c>
      <x:c r="D44" s="11" t="n">
        <x:v>162</x:v>
      </x:c>
      <x:c r="E44" s="11" t="n">
        <x:v>0</x:v>
      </x:c>
      <x:c r="F44" s="13" t="str">
        <x:v>有效回答者为分母；各选项按题型计数</x:v>
      </x:c>
      <x:c r="G44" s="13" t="str">
        <x:v>数值编码1=是、2=否，已与文本版交叉核对。</x:v>
      </x:c>
    </x:row>
    <x:row r="45" ht="64" customHeight="1">
      <x:c r="A45" s="2" t="str">
        <x:v>Q40</x:v>
      </x:c>
      <x:c r="B45" s="2" t="str">
        <x:v>五级量表</x:v>
      </x:c>
      <x:c r="C45" s="13" t="str">
        <x:v>40.对“在校培养—岗位适应—能力提升—领军人才”四阶段全链条培养路径各环节重点的认同程度（1=很不认同，5=很认同），请在相应栏内打“✓”—L1 在校培养阶段:夯实财务、医疗、管理、信息交叉基础知识</x:v>
      </x:c>
      <x:c r="D45" s="11" t="n">
        <x:v>162</x:v>
      </x:c>
      <x:c r="E45" s="11" t="n">
        <x:v>0</x:v>
      </x:c>
      <x:c r="F45" s="13" t="str">
        <x:v>每个子项有效数均为162；不同题锚点不同，不合成一个总分</x:v>
      </x:c>
      <x:c r="G45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6" ht="36" customHeight="1">
      <x:c r="A46" s="2" t="str">
        <x:v>Q41</x:v>
      </x:c>
      <x:c r="B46" s="2" t="str">
        <x:v>单选</x:v>
      </x:c>
      <x:c r="C46" s="13" t="str">
        <x:v>41.贵院经济管理人员跨部门轮岗开展情况（单选）</x:v>
      </x:c>
      <x:c r="D46" s="11" t="n">
        <x:v>162</x:v>
      </x:c>
      <x:c r="E46" s="11" t="n">
        <x:v>0</x:v>
      </x:c>
      <x:c r="F46" s="13" t="str">
        <x:v>有效回答者为分母；各选项按题型计数</x:v>
      </x:c>
      <x:c r="G46" s="13" t="str">
        <x:v>按原题编码和文本标签统计；其他选项中的填写内容不公开。仅展示本样本实际出现的编码。</x:v>
      </x:c>
    </x:row>
    <x:row r="47" ht="36" customHeight="1">
      <x:c r="A47" s="2" t="str">
        <x:v>Q42</x:v>
      </x:c>
      <x:c r="B47" s="2" t="str">
        <x:v>单选</x:v>
      </x:c>
      <x:c r="C47" s="13" t="str">
        <x:v>42.贵院经济管理人员跨部门轮岗频次（单选）</x:v>
      </x:c>
      <x:c r="D47" s="11" t="n">
        <x:v>162</x:v>
      </x:c>
      <x:c r="E47" s="11" t="n">
        <x:v>0</x:v>
      </x:c>
      <x:c r="F47" s="13" t="str">
        <x:v>有效回答者为分母；各选项按题型计数</x:v>
      </x:c>
      <x:c r="G47" s="13" t="str">
        <x:v>按原题编码和文本标签统计；其他选项中的填写内容不公开。仅展示本样本实际出现的编码。</x:v>
      </x:c>
    </x:row>
    <x:row r="48" ht="50" customHeight="1">
      <x:c r="A48" s="2" t="str">
        <x:v>Q43</x:v>
      </x:c>
      <x:c r="B48" s="2" t="str">
        <x:v>五级量表</x:v>
      </x:c>
      <x:c r="C48" s="13" t="str">
        <x:v>43.下列实战项目历练对能力提升的重要程度（1=很不重要，5=很重要），请在相应栏内打“✓” —M1 参与年度预算编制与执行分析</x:v>
      </x:c>
      <x:c r="D48" s="11" t="n">
        <x:v>162</x:v>
      </x:c>
      <x:c r="E48" s="11" t="n">
        <x:v>0</x:v>
      </x:c>
      <x:c r="F48" s="13" t="str">
        <x:v>每个子项有效数均为162；不同题锚点不同，不合成一个总分</x:v>
      </x:c>
      <x:c r="G48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9" ht="30" customHeight="1">
      <x:c r="A49" s="2" t="str">
        <x:v>Q44</x:v>
      </x:c>
      <x:c r="B49" s="2" t="str">
        <x:v>多选</x:v>
      </x:c>
      <x:c r="C49" s="13" t="str">
        <x:v>44.您认为可行的实践基地建设路径（可多选）</x:v>
      </x:c>
      <x:c r="D49" s="11" t="n">
        <x:v>162</x:v>
      </x:c>
      <x:c r="E49" s="11" t="n">
        <x:v>0</x:v>
      </x:c>
      <x:c r="F49" s="13" t="str">
        <x:v>每个选项以162份为分母；比例加总可超过100%；未选中不是缺失</x:v>
      </x:c>
      <x:c r="G49" s="13" t="str">
        <x:v>分母为全部162份答卷；多选比例之和可超过100%。未勾选不能等同独立核实没有。</x:v>
      </x:c>
    </x:row>
    <x:row r="50" ht="30" customHeight="1">
      <x:c r="A50" s="2" t="str">
        <x:v>Q45</x:v>
      </x:c>
      <x:c r="B50" s="2" t="str">
        <x:v>多选</x:v>
      </x:c>
      <x:c r="C50" s="13" t="str">
        <x:v>45.贵院培养成果转化途径（可多选）</x:v>
      </x:c>
      <x:c r="D50" s="11" t="n">
        <x:v>162</x:v>
      </x:c>
      <x:c r="E50" s="11" t="n">
        <x:v>0</x:v>
      </x:c>
      <x:c r="F50" s="13" t="str">
        <x:v>每个选项以162份为分母；比例加总可超过100%；未选中不是缺失</x:v>
      </x:c>
      <x:c r="G50" s="13" t="str">
        <x:v>分母为全部162份答卷；多选比例之和可超过100%。未勾选不能等同独立核实没有。</x:v>
      </x:c>
    </x:row>
    <x:row r="51" ht="36" customHeight="1">
      <x:c r="A51" s="2" t="str">
        <x:v>Q46</x:v>
      </x:c>
      <x:c r="B51" s="2" t="str">
        <x:v>多选</x:v>
      </x:c>
      <x:c r="C51" s="13" t="str">
        <x:v>46.您认为培养成果难以转化落地的主要障碍是（可多选，最多3项）</x:v>
      </x:c>
      <x:c r="D51" s="11" t="n">
        <x:v>162</x:v>
      </x:c>
      <x:c r="E51" s="11" t="n">
        <x:v>0</x:v>
      </x:c>
      <x:c r="F51" s="13" t="str">
        <x:v>每个选项以162份为分母；比例加总可超过100%；未选中不是缺失</x:v>
      </x:c>
      <x:c r="G51" s="13" t="str">
        <x:v>分母为全部162份答卷；多选比例之和可超过100%。未勾选不能等同独立核实没有。</x:v>
      </x:c>
    </x:row>
    <x:row r="52" ht="36" customHeight="1">
      <x:c r="A52" s="2" t="str">
        <x:v>Q47</x:v>
      </x:c>
      <x:c r="B52" s="2" t="str">
        <x:v>开放建议</x:v>
      </x:c>
      <x:c r="C52" s="13" t="str">
        <x:v>47.您对业财融合视角下卫生健康经济管理人才培养模式、机制建设与实践路径的意见建议:</x:v>
      </x:c>
      <x:c r="D52" s="11" t="n">
        <x:v>12</x:v>
      </x:c>
      <x:c r="E52" s="11"/>
      <x:c r="F52" s="13" t="str">
        <x:v>12为规则识别的实质意见数；其他150份包含无实质意见或空白，不强行区分</x:v>
      </x:c>
      <x:c r="G52" s="13" t="str">
        <x:v>实质意见12份，其他150份；关键词辅助、逐条人工复核的多标签探索性编码，主题可重叠，不公开原文或答卷标识；比例不能外推至全样本。</x:v>
      </x:c>
    </x:row>
  </x:sheetData>
  <x:pageMargins left="0.7" right="0.7" top="0.75" bottom="0.75" header="0.3" footer="0.3"/>
  <x:tableParts count="1">
    <x:tablePart xmlns:r="http://schemas.openxmlformats.org/officeDocument/2006/relationships" r:id="R8f22aa450802417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4" hidden="0" customWidth="1"/>
    <x:col min="4" max="4" width="9.5" hidden="0" customWidth="1"/>
    <x:col min="5" max="5" width="11" hidden="0" customWidth="1"/>
    <x:col min="6" max="6" width="6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1" customHeight="1">
      <x:c r="A2" s="4" t="str">
        <x:v>导出一致性、选答与排序约束核验</x:v>
      </x:c>
      <x:c r="B2" s="4"/>
      <x:c r="C2" s="4"/>
      <x:c r="D2" s="4"/>
      <x:c r="E2" s="4"/>
      <x:c r="F2" s="4"/>
    </x:row>
    <x:row r="3" ht="24" customHeight="1">
      <x:c r="A3" s="5" t="str">
        <x:v>全部核验为聚合结果；不披露答卷序号、城市、IP、原始开放回答或准确提交时点。</x:v>
      </x:c>
      <x:c r="B3" s="5"/>
      <x:c r="C3" s="5"/>
      <x:c r="D3" s="5"/>
      <x:c r="E3" s="5"/>
      <x:c r="F3" s="5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9" t="str">
        <x:v>核验类别</x:v>
      </x:c>
      <x:c r="B5" s="9" t="str">
        <x:v>核验项目</x:v>
      </x:c>
      <x:c r="C5" s="9" t="str">
        <x:v>答卷数或数值</x:v>
      </x:c>
      <x:c r="D5" s="9" t="str">
        <x:v>分母</x:v>
      </x:c>
      <x:c r="E5" s="9" t="str">
        <x:v>比例</x:v>
      </x:c>
      <x:c r="F5" s="9" t="str">
        <x:v>核验解释</x:v>
      </x:c>
    </x:row>
    <x:row r="6" ht="30" customHeight="1">
      <x:c r="A6" s="13" t="str">
        <x:v>数据质量</x:v>
      </x:c>
      <x:c r="B6" s="13" t="str">
        <x:v>输入结构</x:v>
      </x:c>
      <x:c r="C6" s="18"/>
      <x:c r="D6" s="11"/>
      <x:c r="E6" s="12"/>
      <x:c r="F6" s="13" t="str">
        <x:v>同批答卷 162 份；数值版207列，文本版129列；47题</x:v>
      </x:c>
    </x:row>
    <x:row r="7" ht="30" customHeight="1">
      <x:c r="A7" s="13" t="str">
        <x:v>数据质量</x:v>
      </x:c>
      <x:c r="B7" s="13" t="str">
        <x:v>对齐键</x:v>
      </x:c>
      <x:c r="C7" s="18"/>
      <x:c r="D7" s="11"/>
      <x:c r="E7" s="12"/>
      <x:c r="F7" s="13" t="str">
        <x:v>两份序号均唯一，按序号对齐；不发布序号</x:v>
      </x:c>
    </x:row>
    <x:row r="8" ht="30" customHeight="1">
      <x:c r="A8" s="13" t="str">
        <x:v>数据质量</x:v>
      </x:c>
      <x:c r="B8" s="13" t="str">
        <x:v>题目字段跨导出核验</x:v>
      </x:c>
      <x:c r="C8" s="18"/>
      <x:c r="D8" s="11"/>
      <x:c r="E8" s="12"/>
      <x:c r="F8" s="13" t="str">
        <x:v>32562 格；不一致 0 格</x:v>
      </x:c>
    </x:row>
    <x:row r="9" ht="30" customHeight="1">
      <x:c r="A9" s="13" t="str">
        <x:v>数据质量</x:v>
      </x:c>
      <x:c r="B9" s="13" t="str">
        <x:v>主样本</x:v>
      </x:c>
      <x:c r="C9" s="18"/>
      <x:c r="D9" s="11"/>
      <x:c r="E9" s="12"/>
      <x:c r="F9" s="13" t="str">
        <x:v>保留全部162份；Q11、Q12选答缺失不整行剔除</x:v>
      </x:c>
    </x:row>
    <x:row r="10" ht="30" customHeight="1">
      <x:c r="A10" s="13" t="str">
        <x:v>数据质量</x:v>
      </x:c>
      <x:c r="B10" s="13" t="str">
        <x:v>Q14 多选完整性</x:v>
      </x:c>
      <x:c r="C10" s="18"/>
      <x:c r="D10" s="11"/>
      <x:c r="E10" s="12"/>
      <x:c r="F10" s="13" t="str">
        <x:v>每份选择 1 至 3 项；零项 0 份；超上限 0 份</x:v>
      </x:c>
    </x:row>
    <x:row r="11" ht="30" customHeight="1">
      <x:c r="A11" s="13" t="str">
        <x:v>数据质量</x:v>
      </x:c>
      <x:c r="B11" s="13" t="str">
        <x:v>Q17 多选完整性</x:v>
      </x:c>
      <x:c r="C11" s="18"/>
      <x:c r="D11" s="11"/>
      <x:c r="E11" s="12"/>
      <x:c r="F11" s="13" t="str">
        <x:v>每份选择 1 至 7 项；零项 0 份；超上限 0 份</x:v>
      </x:c>
    </x:row>
    <x:row r="12" ht="30" customHeight="1">
      <x:c r="A12" s="13" t="str">
        <x:v>数据质量</x:v>
      </x:c>
      <x:c r="B12" s="13" t="str">
        <x:v>Q18 多选完整性</x:v>
      </x:c>
      <x:c r="C12" s="18"/>
      <x:c r="D12" s="11"/>
      <x:c r="E12" s="12"/>
      <x:c r="F12" s="13" t="str">
        <x:v>每份选择 1 至 7 项；零项 0 份；超上限 0 份</x:v>
      </x:c>
    </x:row>
    <x:row r="13" ht="30" customHeight="1">
      <x:c r="A13" s="13" t="str">
        <x:v>数据质量</x:v>
      </x:c>
      <x:c r="B13" s="13" t="str">
        <x:v>Q19 多选完整性</x:v>
      </x:c>
      <x:c r="C13" s="18"/>
      <x:c r="D13" s="11"/>
      <x:c r="E13" s="12"/>
      <x:c r="F13" s="13" t="str">
        <x:v>每份选择 1 至 4 项；零项 0 份；超上限 0 份</x:v>
      </x:c>
    </x:row>
    <x:row r="14" ht="30" customHeight="1">
      <x:c r="A14" s="13" t="str">
        <x:v>数据质量</x:v>
      </x:c>
      <x:c r="B14" s="13" t="str">
        <x:v>Q21 多选完整性</x:v>
      </x:c>
      <x:c r="C14" s="18"/>
      <x:c r="D14" s="11"/>
      <x:c r="E14" s="12"/>
      <x:c r="F14" s="13" t="str">
        <x:v>每份选择 1 至 6 项；零项 0 份；超上限 0 份</x:v>
      </x:c>
    </x:row>
    <x:row r="15" ht="30" customHeight="1">
      <x:c r="A15" s="13" t="str">
        <x:v>数据质量</x:v>
      </x:c>
      <x:c r="B15" s="13" t="str">
        <x:v>Q23 排序约束</x:v>
      </x:c>
      <x:c r="C15" s="18"/>
      <x:c r="D15" s="11"/>
      <x:c r="E15" s="12"/>
      <x:c r="F15" s="13" t="str">
        <x:v>162/162 份恰含唯一名次1、2、3</x:v>
      </x:c>
    </x:row>
    <x:row r="16" ht="30" customHeight="1">
      <x:c r="A16" s="13" t="str">
        <x:v>数据质量</x:v>
      </x:c>
      <x:c r="B16" s="13" t="str">
        <x:v>Q25 排序约束</x:v>
      </x:c>
      <x:c r="C16" s="18"/>
      <x:c r="D16" s="11"/>
      <x:c r="E16" s="12"/>
      <x:c r="F16" s="13" t="str">
        <x:v>162/162 份恰含唯一名次1、2、3</x:v>
      </x:c>
    </x:row>
    <x:row r="17" ht="30" customHeight="1">
      <x:c r="A17" s="13" t="str">
        <x:v>数据质量</x:v>
      </x:c>
      <x:c r="B17" s="13" t="str">
        <x:v>Q28 多选完整性</x:v>
      </x:c>
      <x:c r="C17" s="18"/>
      <x:c r="D17" s="11"/>
      <x:c r="E17" s="12"/>
      <x:c r="F17" s="13" t="str">
        <x:v>每份选择 1 至 6 项；零项 0 份；超上限 0 份</x:v>
      </x:c>
    </x:row>
    <x:row r="18" ht="30" customHeight="1">
      <x:c r="A18" s="13" t="str">
        <x:v>数据质量</x:v>
      </x:c>
      <x:c r="B18" s="13" t="str">
        <x:v>Q30 多选完整性</x:v>
      </x:c>
      <x:c r="C18" s="18"/>
      <x:c r="D18" s="11"/>
      <x:c r="E18" s="12"/>
      <x:c r="F18" s="13" t="str">
        <x:v>每份选择 1 至 4 项；零项 0 份；超上限 0 份</x:v>
      </x:c>
    </x:row>
    <x:row r="19" ht="30" customHeight="1">
      <x:c r="A19" s="13" t="str">
        <x:v>数据质量</x:v>
      </x:c>
      <x:c r="B19" s="13" t="str">
        <x:v>Q37 多选完整性</x:v>
      </x:c>
      <x:c r="C19" s="18"/>
      <x:c r="D19" s="11"/>
      <x:c r="E19" s="12"/>
      <x:c r="F19" s="13" t="str">
        <x:v>每份选择 1 至 4 项；零项 0 份；超上限 0 份</x:v>
      </x:c>
    </x:row>
    <x:row r="20" ht="30" customHeight="1">
      <x:c r="A20" s="13" t="str">
        <x:v>数据质量</x:v>
      </x:c>
      <x:c r="B20" s="13" t="str">
        <x:v>Q38 排序约束</x:v>
      </x:c>
      <x:c r="C20" s="18"/>
      <x:c r="D20" s="11"/>
      <x:c r="E20" s="12"/>
      <x:c r="F20" s="13" t="str">
        <x:v>162/162 份恰含唯一名次1、2、3</x:v>
      </x:c>
    </x:row>
    <x:row r="21" ht="30" customHeight="1">
      <x:c r="A21" s="13" t="str">
        <x:v>数据质量</x:v>
      </x:c>
      <x:c r="B21" s="13" t="str">
        <x:v>Q44 多选完整性</x:v>
      </x:c>
      <x:c r="C21" s="18"/>
      <x:c r="D21" s="11"/>
      <x:c r="E21" s="12"/>
      <x:c r="F21" s="13" t="str">
        <x:v>每份选择 1 至 3 项；零项 0 份；超上限 0 份</x:v>
      </x:c>
    </x:row>
    <x:row r="22" ht="30" customHeight="1">
      <x:c r="A22" s="13" t="str">
        <x:v>数据质量</x:v>
      </x:c>
      <x:c r="B22" s="13" t="str">
        <x:v>Q45 多选完整性</x:v>
      </x:c>
      <x:c r="C22" s="18"/>
      <x:c r="D22" s="11"/>
      <x:c r="E22" s="12"/>
      <x:c r="F22" s="13" t="str">
        <x:v>每份选择 1 至 3 项；零项 0 份；超上限 0 份</x:v>
      </x:c>
    </x:row>
    <x:row r="23" ht="30" customHeight="1">
      <x:c r="A23" s="13" t="str">
        <x:v>数据质量</x:v>
      </x:c>
      <x:c r="B23" s="13" t="str">
        <x:v>Q46 多选完整性</x:v>
      </x:c>
      <x:c r="C23" s="18"/>
      <x:c r="D23" s="11"/>
      <x:c r="E23" s="12"/>
      <x:c r="F23" s="13" t="str">
        <x:v>每份选择 1 至 3 项；零项 0 份；超上限 0 份</x:v>
      </x:c>
    </x:row>
    <x:row r="24" ht="30" customHeight="1">
      <x:c r="A24" s="13" t="str">
        <x:v>数据质量</x:v>
      </x:c>
      <x:c r="B24" s="13" t="str">
        <x:v>Q28并选核查</x:v>
      </x:c>
      <x:c r="C24" s="18"/>
      <x:c r="D24" s="11"/>
      <x:c r="E24" s="12"/>
      <x:c r="F24" s="13" t="str">
        <x:v>尚无合作与具体合作形式同时选择 3 份，标为潜在矛盾，主分析保留</x:v>
      </x:c>
    </x:row>
    <x:row r="25" ht="30" customHeight="1">
      <x:c r="A25" s="13" t="str">
        <x:v>数据质量</x:v>
      </x:c>
      <x:c r="B25" s="13" t="str">
        <x:v>Q30并选核查</x:v>
      </x:c>
      <x:c r="C25" s="18"/>
      <x:c r="D25" s="11"/>
      <x:c r="E25" s="12"/>
      <x:c r="F25" s="13" t="str">
        <x:v>尚无系统评估与具体评价方式同时选择 7 份，可能为零散评价未成体系，不判定完全没有评价</x:v>
      </x:c>
    </x:row>
    <x:row r="26" ht="30" customHeight="1">
      <x:c r="A26" s="13" t="str">
        <x:v>数据质量</x:v>
      </x:c>
      <x:c r="B26" s="13" t="str">
        <x:v>59个量表子项</x:v>
      </x:c>
      <x:c r="C26" s="18"/>
      <x:c r="D26" s="11"/>
      <x:c r="E26" s="12"/>
      <x:c r="F26" s="13" t="str">
        <x:v>小于300秒 2 份；所有量表同分 5 份；合并标记 6 份，仅用于敏感性</x:v>
      </x:c>
    </x:row>
    <x:row r="27" ht="30" customHeight="1">
      <x:c r="A27" s="13" t="str">
        <x:v>数据质量</x:v>
      </x:c>
      <x:c r="B27" s="13" t="str">
        <x:v>Q11总人数有效性</x:v>
      </x:c>
      <x:c r="C27" s="18"/>
      <x:c r="D27" s="11"/>
      <x:c r="E27" s="12"/>
      <x:c r="F27" s="13" t="str">
        <x:v>有效 98 份，其余 64 份；后者包含空白和非数值，不等于整题空白</x:v>
      </x:c>
    </x:row>
    <x:row r="28" ht="30" customHeight="1">
      <x:c r="A28" s="13" t="str">
        <x:v>Q11</x:v>
      </x:c>
      <x:c r="B28" s="13" t="str">
        <x:v>任一非空</x:v>
      </x:c>
      <x:c r="C28" s="18" t="n">
        <x:v>102</x:v>
      </x:c>
      <x:c r="D28" s="11" t="n">
        <x:v>162</x:v>
      </x:c>
      <x:c r="E28" s="12" t="n">
        <x:f>IF(D28&gt;0,C28/D28,"n.a.")</x:f>
        <x:v>0.6296296296296297</x:v>
      </x:c>
      <x:c r="F28" s="13" t="str"/>
    </x:row>
    <x:row r="29" ht="30" customHeight="1">
      <x:c r="A29" s="13" t="str">
        <x:v>Q11</x:v>
      </x:c>
      <x:c r="B29" s="13" t="str">
        <x:v>任一有效数值</x:v>
      </x:c>
      <x:c r="C29" s="18" t="n">
        <x:v>100</x:v>
      </x:c>
      <x:c r="D29" s="11" t="n">
        <x:v>162</x:v>
      </x:c>
      <x:c r="E29" s="12" t="n">
        <x:f>IF(D29&gt;0,C29/D29,"n.a.")</x:f>
        <x:v>0.6172839506172839</x:v>
      </x:c>
      <x:c r="F29" s="13" t="str"/>
    </x:row>
    <x:row r="30" ht="30" customHeight="1">
      <x:c r="A30" s="13" t="str">
        <x:v>Q11</x:v>
      </x:c>
      <x:c r="B30" s="13" t="str">
        <x:v>全部字段有效</x:v>
      </x:c>
      <x:c r="C30" s="18" t="n">
        <x:v>78</x:v>
      </x:c>
      <x:c r="D30" s="11" t="n">
        <x:v>162</x:v>
      </x:c>
      <x:c r="E30" s="12" t="n">
        <x:f>IF(D30&gt;0,C30/D30,"n.a.")</x:f>
        <x:v>0.48148148148148145</x:v>
      </x:c>
      <x:c r="F30" s="13" t="str"/>
    </x:row>
    <x:row r="31" ht="30" customHeight="1">
      <x:c r="A31" s="13" t="str">
        <x:v>Q11</x:v>
      </x:c>
      <x:c r="B31" s="13" t="str">
        <x:v>整题空白</x:v>
      </x:c>
      <x:c r="C31" s="18" t="n">
        <x:v>60</x:v>
      </x:c>
      <x:c r="D31" s="11" t="n">
        <x:v>162</x:v>
      </x:c>
      <x:c r="E31" s="12" t="n">
        <x:f>IF(D31&gt;0,C31/D31,"n.a.")</x:f>
        <x:v>0.37037037037037035</x:v>
      </x:c>
      <x:c r="F31" s="13" t="str"/>
    </x:row>
    <x:row r="32" ht="30" customHeight="1">
      <x:c r="A32" s="13" t="str">
        <x:v>Q12</x:v>
      </x:c>
      <x:c r="B32" s="13" t="str">
        <x:v>任一非空</x:v>
      </x:c>
      <x:c r="C32" s="18" t="n">
        <x:v>100</x:v>
      </x:c>
      <x:c r="D32" s="11" t="n">
        <x:v>162</x:v>
      </x:c>
      <x:c r="E32" s="12" t="n">
        <x:f>IF(D32&gt;0,C32/D32,"n.a.")</x:f>
        <x:v>0.6172839506172839</x:v>
      </x:c>
      <x:c r="F32" s="13" t="str"/>
    </x:row>
    <x:row r="33" ht="30" customHeight="1">
      <x:c r="A33" s="13" t="str">
        <x:v>Q12</x:v>
      </x:c>
      <x:c r="B33" s="13" t="str">
        <x:v>任一有效数值</x:v>
      </x:c>
      <x:c r="C33" s="18" t="n">
        <x:v>98</x:v>
      </x:c>
      <x:c r="D33" s="11" t="n">
        <x:v>162</x:v>
      </x:c>
      <x:c r="E33" s="12" t="n">
        <x:f>IF(D33&gt;0,C33/D33,"n.a.")</x:f>
        <x:v>0.6049382716049383</x:v>
      </x:c>
      <x:c r="F33" s="13" t="str"/>
    </x:row>
    <x:row r="34" ht="30" customHeight="1">
      <x:c r="A34" s="13" t="str">
        <x:v>Q12</x:v>
      </x:c>
      <x:c r="B34" s="13" t="str">
        <x:v>全部字段有效</x:v>
      </x:c>
      <x:c r="C34" s="18" t="n">
        <x:v>81</x:v>
      </x:c>
      <x:c r="D34" s="11" t="n">
        <x:v>162</x:v>
      </x:c>
      <x:c r="E34" s="12" t="n">
        <x:f>IF(D34&gt;0,C34/D34,"n.a.")</x:f>
        <x:v>0.5</x:v>
      </x:c>
      <x:c r="F34" s="13" t="str"/>
    </x:row>
    <x:row r="35" ht="30" customHeight="1">
      <x:c r="A35" s="13" t="str">
        <x:v>Q12</x:v>
      </x:c>
      <x:c r="B35" s="13" t="str">
        <x:v>整题空白</x:v>
      </x:c>
      <x:c r="C35" s="18" t="n">
        <x:v>62</x:v>
      </x:c>
      <x:c r="D35" s="11" t="n">
        <x:v>162</x:v>
      </x:c>
      <x:c r="E35" s="12" t="n">
        <x:f>IF(D35&gt;0,C35/D35,"n.a.")</x:f>
        <x:v>0.38271604938271603</x:v>
      </x:c>
      <x:c r="F35" s="13" t="str"/>
    </x:row>
    <x:row r="36" ht="30" customHeight="1">
      <x:c r="A36" s="13" t="str">
        <x:v>Q11</x:v>
      </x:c>
      <x:c r="B36" s="13" t="str">
        <x:v>仅去除最大0条总人数记录的情景</x:v>
      </x:c>
      <x:c r="C36" s="18" t="n">
        <x:v>98</x:v>
      </x:c>
      <x:c r="D36" s="11"/>
      <x:c r="E36" s="12" t="str">
        <x:f>IF(D36&gt;0,C36/D36,"n.a.")</x:f>
        <x:v>n.a.</x:v>
      </x:c>
      <x:c r="F36" s="13" t="str">
        <x:v>填报计数合计 12,573</x:v>
      </x:c>
    </x:row>
    <x:row r="37" ht="30" customHeight="1">
      <x:c r="A37" s="13" t="str">
        <x:v>Q11</x:v>
      </x:c>
      <x:c r="B37" s="13" t="str">
        <x:v>仅去除最大1条总人数记录的情景</x:v>
      </x:c>
      <x:c r="C37" s="18" t="n">
        <x:v>97</x:v>
      </x:c>
      <x:c r="D37" s="11"/>
      <x:c r="E37" s="12" t="str">
        <x:f>IF(D37&gt;0,C37/D37,"n.a.")</x:f>
        <x:v>n.a.</x:v>
      </x:c>
      <x:c r="F37" s="13" t="str">
        <x:v>填报计数合计 7,273</x:v>
      </x:c>
    </x:row>
    <x:row r="38" ht="30" customHeight="1">
      <x:c r="A38" s="13" t="str">
        <x:v>Q11</x:v>
      </x:c>
      <x:c r="B38" s="13" t="str">
        <x:v>仅去除最大2条总人数记录的情景</x:v>
      </x:c>
      <x:c r="C38" s="18" t="n">
        <x:v>96</x:v>
      </x:c>
      <x:c r="D38" s="11"/>
      <x:c r="E38" s="12" t="str">
        <x:f>IF(D38&gt;0,C38/D38,"n.a.")</x:f>
        <x:v>n.a.</x:v>
      </x:c>
      <x:c r="F38" s="13" t="str">
        <x:v>填报计数合计 5,926</x:v>
      </x:c>
    </x:row>
    <x:row r="39" ht="30" customHeight="1">
      <x:c r="A39" s="13" t="str">
        <x:v>Q11</x:v>
      </x:c>
      <x:c r="B39" s="13" t="str">
        <x:v>仅去除最大3条总人数记录的情景</x:v>
      </x:c>
      <x:c r="C39" s="18" t="n">
        <x:v>95</x:v>
      </x:c>
      <x:c r="D39" s="11"/>
      <x:c r="E39" s="12" t="str">
        <x:f>IF(D39&gt;0,C39/D39,"n.a.")</x:f>
        <x:v>n.a.</x:v>
      </x:c>
      <x:c r="F39" s="13" t="str">
        <x:v>填报计数合计 4,915</x:v>
      </x:c>
    </x:row>
    <x:row r="40" ht="30" customHeight="1">
      <x:c r="A40" s="13" t="str">
        <x:v>Q11</x:v>
      </x:c>
      <x:c r="B40" s="13" t="str">
        <x:v>总人数IQR上界</x:v>
      </x:c>
      <x:c r="C40" s="18" t="n">
        <x:v>102</x:v>
      </x:c>
      <x:c r="D40" s="11"/>
      <x:c r="E40" s="12" t="str">
        <x:f>IF(D40&gt;0,C40/D40,"n.a.")</x:f>
        <x:v>n.a.</x:v>
      </x:c>
      <x:c r="F40" s="13" t="str">
        <x:v>Q3 + 1.5×IQR；仅用于敏感性筛选</x:v>
      </x:c>
    </x:row>
    <x:row r="41" ht="30" customHeight="1">
      <x:c r="A41" s="13" t="str">
        <x:v>Q11结构一致性</x:v>
      </x:c>
      <x:c r="B41" s="13" t="str">
        <x:v>学历完整分项与总人数不一致</x:v>
      </x:c>
      <x:c r="C41" s="18" t="n">
        <x:v>12</x:v>
      </x:c>
      <x:c r="D41" s="11" t="n">
        <x:v>85</x:v>
      </x:c>
      <x:c r="E41" s="12" t="n">
        <x:f>C41/D41</x:f>
        <x:v>0.1411764705882353</x:v>
      </x:c>
      <x:c r="F41" s="13" t="str">
        <x:v>按同一答卷的分项和与总人数比较，不修改原始填报</x:v>
      </x:c>
    </x:row>
    <x:row r="42" ht="30" customHeight="1">
      <x:c r="A42" s="13" t="str">
        <x:v>Q11结构一致性</x:v>
      </x:c>
      <x:c r="B42" s="13" t="str">
        <x:v>职称完整分项与总人数不一致</x:v>
      </x:c>
      <x:c r="C42" s="18" t="n">
        <x:v>19</x:v>
      </x:c>
      <x:c r="D42" s="11" t="n">
        <x:v>86</x:v>
      </x:c>
      <x:c r="E42" s="12" t="n">
        <x:f>C42/D42</x:f>
        <x:v>0.22093023255813954</x:v>
      </x:c>
      <x:c r="F42" s="13" t="str">
        <x:v>按同一答卷的分项和与总人数比较，不修改原始填报</x:v>
      </x:c>
    </x:row>
    <x:row r="43" ht="30" customHeight="1">
      <x:c r="A43" s="13" t="str">
        <x:v>Q22整体检验</x:v>
      </x:c>
      <x:c r="B43" s="13" t="str">
        <x:v>Friedman统计量</x:v>
      </x:c>
      <x:c r="C43" s="18" t="n">
        <x:v>66.64540956569572</x:v>
      </x:c>
      <x:c r="D43" s="11"/>
      <x:c r="E43" s="12"/>
      <x:c r="F43" s="13" t="str">
        <x:v>df=4；p=1.15802e-13；Kendall W=0.102848</x:v>
      </x:c>
    </x:row>
  </x:sheetData>
  <x:pageMargins left="0.7" right="0.7" top="0.75" bottom="0.75" header="0.3" footer="0.3"/>
  <x:tableParts count="1">
    <x:tablePart xmlns:r="http://schemas.openxmlformats.org/officeDocument/2006/relationships" r:id="Reff7939a1eb1421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3" hidden="0" customWidth="1"/>
    <x:col min="3" max="3" width="40" hidden="0" customWidth="1"/>
    <x:col min="4" max="4" width="16" hidden="0" customWidth="1"/>
    <x:col min="5" max="5" width="58" hidden="0" customWidth="1"/>
  </x:cols>
  <x:sheetData>
    <x:row r="1" ht="24" customHeight="1">
      <x:c r="A1" s="2"/>
      <x:c r="B1" s="2"/>
      <x:c r="C1" s="2"/>
      <x:c r="D1" s="2"/>
      <x:c r="E1" s="2"/>
    </x:row>
    <x:row r="2" ht="31" customHeight="1">
      <x:c r="A2" s="4" t="str">
        <x:v>关键数字与结论表述核验</x:v>
      </x:c>
      <x:c r="B2" s="4"/>
      <x:c r="C2" s="4"/>
      <x:c r="D2" s="4"/>
      <x:c r="E2" s="4"/>
    </x:row>
    <x:row r="3" ht="24" customHeight="1">
      <x:c r="A3" s="5" t="str">
        <x:v>数字核对与结论适用范围分开。统计关联不等于原因；回答记录不等于独立医院记录。</x:v>
      </x:c>
      <x:c r="B3" s="5"/>
      <x:c r="C3" s="5"/>
      <x:c r="D3" s="5"/>
      <x:c r="E3" s="5"/>
    </x:row>
    <x:row r="4" ht="24" customHeight="1">
      <x:c r="A4" s="2"/>
      <x:c r="B4" s="2"/>
      <x:c r="C4" s="2"/>
      <x:c r="D4" s="2"/>
      <x:c r="E4" s="2"/>
    </x:row>
    <x:row r="5" ht="36" customHeight="1">
      <x:c r="A5" s="9" t="str">
        <x:v>核验对象</x:v>
      </x:c>
      <x:c r="B5" s="9" t="str">
        <x:v>本次结果</x:v>
      </x:c>
      <x:c r="C5" s="9" t="str">
        <x:v>对照值或证据</x:v>
      </x:c>
      <x:c r="D5" s="9" t="str">
        <x:v>结论</x:v>
      </x:c>
      <x:c r="E5" s="9" t="str">
        <x:v>限定条件</x:v>
      </x:c>
    </x:row>
    <x:row r="6" ht="30" customHeight="1">
      <x:c r="A6" s="13" t="str">
        <x:v>三级类别</x:v>
      </x:c>
      <x:c r="B6" s="13" t="n">
        <x:v>145</x:v>
      </x:c>
      <x:c r="C6" s="13" t="n">
        <x:v>145</x:v>
      </x:c>
      <x:c r="D6" s="13" t="str">
        <x:f>IF(B6=C6,"一致","需复核")</x:f>
        <x:v>一致</x:v>
      </x:c>
      <x:c r="E6" s="13" t="str">
        <x:v>聚合数字一致性核对</x:v>
      </x:c>
    </x:row>
    <x:row r="7" ht="30" customHeight="1">
      <x:c r="A7" s="13" t="str">
        <x:v>硕士</x:v>
      </x:c>
      <x:c r="B7" s="13" t="n">
        <x:v>88</x:v>
      </x:c>
      <x:c r="C7" s="13" t="n">
        <x:v>88</x:v>
      </x:c>
      <x:c r="D7" s="13" t="str">
        <x:f>IF(B7=C7,"一致","需复核")</x:f>
        <x:v>一致</x:v>
      </x:c>
      <x:c r="E7" s="13" t="str">
        <x:v>聚合数字一致性核对</x:v>
      </x:c>
    </x:row>
    <x:row r="8" ht="30" customHeight="1">
      <x:c r="A8" s="13" t="str">
        <x:v>管理者</x:v>
      </x:c>
      <x:c r="B8" s="13" t="n">
        <x:v>91</x:v>
      </x:c>
      <x:c r="C8" s="13" t="n">
        <x:v>91</x:v>
      </x:c>
      <x:c r="D8" s="13" t="str">
        <x:f>IF(B8=C8,"一致","需复核")</x:f>
        <x:v>一致</x:v>
      </x:c>
      <x:c r="E8" s="13" t="str">
        <x:v>聚合数字一致性核对</x:v>
      </x:c>
    </x:row>
    <x:row r="9" ht="30" customHeight="1">
      <x:c r="A9" s="13" t="str">
        <x:v>数智高需求</x:v>
      </x:c>
      <x:c r="B9" s="13" t="n">
        <x:v>156</x:v>
      </x:c>
      <x:c r="C9" s="13" t="n">
        <x:v>156</x:v>
      </x:c>
      <x:c r="D9" s="13" t="str">
        <x:f>IF(B9=C9,"一致","需复核")</x:f>
        <x:v>一致</x:v>
      </x:c>
      <x:c r="E9" s="13" t="str">
        <x:v>聚合数字一致性核对</x:v>
      </x:c>
    </x:row>
    <x:row r="10" ht="30" customHeight="1">
      <x:c r="A10" s="13" t="str">
        <x:v>高数智需求且未报告现有供给</x:v>
      </x:c>
      <x:c r="B10" s="13" t="n">
        <x:v>109</x:v>
      </x:c>
      <x:c r="C10" s="13" t="n">
        <x:v>109</x:v>
      </x:c>
      <x:c r="D10" s="13" t="str">
        <x:f>IF(B10=C10,"一致","需复核")</x:f>
        <x:v>一致</x:v>
      </x:c>
      <x:c r="E10" s="13" t="str">
        <x:v>聚合数字一致性核对</x:v>
      </x:c>
    </x:row>
    <x:row r="11" ht="30" customHeight="1">
      <x:c r="A11" s="13" t="str">
        <x:v>跟岗前三</x:v>
      </x:c>
      <x:c r="B11" s="13" t="n">
        <x:v>125</x:v>
      </x:c>
      <x:c r="C11" s="13" t="n">
        <x:v>125</x:v>
      </x:c>
      <x:c r="D11" s="13" t="str">
        <x:f>IF(B11=C11,"一致","需复核")</x:f>
        <x:v>一致</x:v>
      </x:c>
      <x:c r="E11" s="13" t="str">
        <x:v>聚合数字一致性核对</x:v>
      </x:c>
    </x:row>
    <x:row r="12" ht="30" customHeight="1">
      <x:c r="A12" s="13" t="str">
        <x:v>Q11总人数有效</x:v>
      </x:c>
      <x:c r="B12" s="13" t="n">
        <x:v>98</x:v>
      </x:c>
      <x:c r="C12" s="13" t="n">
        <x:v>98</x:v>
      </x:c>
      <x:c r="D12" s="13" t="str">
        <x:f>IF(B12=C12,"一致","需复核")</x:f>
        <x:v>一致</x:v>
      </x:c>
      <x:c r="E12" s="13" t="str">
        <x:v>聚合数字一致性核对</x:v>
      </x:c>
    </x:row>
    <x:row r="13" ht="30" customHeight="1">
      <x:c r="A13" s="13" t="str">
        <x:v>Q11计数合计</x:v>
      </x:c>
      <x:c r="B13" s="13" t="n">
        <x:v>12573</x:v>
      </x:c>
      <x:c r="C13" s="13" t="n">
        <x:v>12573</x:v>
      </x:c>
      <x:c r="D13" s="13" t="str">
        <x:f>IF(B13=C13,"一致","需复核")</x:f>
        <x:v>一致</x:v>
      </x:c>
      <x:c r="E13" s="13" t="str">
        <x:v>聚合数字一致性核对</x:v>
      </x:c>
    </x:row>
    <x:row r="14" ht="30" customHeight="1">
      <x:c r="A14" s="13" t="str">
        <x:v>数据能力是五维中最突出短板</x:v>
      </x:c>
      <x:c r="B14" s="13" t="str">
        <x:v>业务均值3.302；数据均值3.130</x:v>
      </x:c>
      <x:c r="C14" s="13" t="str">
        <x:v>业务−数据精确置换p=0.050495；BH q=0.072135</x:v>
      </x:c>
      <x:c r="D14" s="13" t="str">
        <x:v>不作此断言</x:v>
      </x:c>
      <x:c r="E14" s="13" t="str">
        <x:v>样本中业务均值更高；业务与数据经10对校正后差异证据不足</x:v>
      </x:c>
    </x:row>
    <x:row r="15" ht="30" customHeight="1">
      <x:c r="A15" s="13" t="str">
        <x:v>96.3%显示人才培养已有效</x:v>
      </x:c>
      <x:c r="B15" s="13" t="str">
        <x:v>156/162为数智课程必要性高分</x:v>
      </x:c>
      <x:c r="C15" s="13" t="str">
        <x:v>Q26 F8为自报需求，未测培养前后结果</x:v>
      </x:c>
      <x:c r="D15" s="13" t="str">
        <x:v>不支持</x:v>
      </x:c>
      <x:c r="E15" s="13" t="str">
        <x:v>需求或认可程度不能解释为培训效果</x:v>
      </x:c>
    </x:row>
    <x:row r="16" ht="30" customHeight="1">
      <x:c r="A16" s="13" t="str">
        <x:v>67.3%医院存在客观数智供给缺口</x:v>
      </x:c>
      <x:c r="B16" s="13" t="str">
        <x:v>109/162高需求且未报告相关现有培训</x:v>
      </x:c>
      <x:c r="C16" s="13" t="str">
        <x:v>Q26 F8与Q17 E近似概念匹配</x:v>
      </x:c>
      <x:c r="D16" s="13" t="str">
        <x:v>需限定</x:v>
      </x:c>
      <x:c r="E16" s="13" t="str">
        <x:v>表述为受访者报告的需求与培训覆盖错配；不能作医院层面客观断言</x:v>
      </x:c>
    </x:row>
    <x:row r="17" ht="30" customHeight="1">
      <x:c r="A17" s="13" t="str">
        <x:v>77.2%把跟岗实训排第一</x:v>
      </x:c>
      <x:c r="B17" s="13" t="str">
        <x:v>125/162是前三入选</x:v>
      </x:c>
      <x:c r="C17" s="13" t="str">
        <x:v>首选和前三分别见排序题统计</x:v>
      </x:c>
      <x:c r="D17" s="13" t="str">
        <x:v>不支持</x:v>
      </x:c>
      <x:c r="E17" s="13" t="str">
        <x:v>前三入选率不能替代首选率</x:v>
      </x:c>
    </x:row>
    <x:row r="18" ht="30" customHeight="1">
      <x:c r="A18" s="13" t="str">
        <x:v>共有12,573名独立经济管理人员</x:v>
      </x:c>
      <x:c r="B18" s="13" t="str">
        <x:v>98份总人数有效填报计数之和</x:v>
      </x:c>
      <x:c r="C18" s="13" t="str">
        <x:v>最大单条5300；去除最大1条后7273</x:v>
      </x:c>
      <x:c r="D18" s="13" t="str">
        <x:v>不支持</x:v>
      </x:c>
      <x:c r="E18" s="13" t="str">
        <x:v>未去重且显著受异常大值影响，应同时报告中位数27</x:v>
      </x:c>
    </x:row>
    <x:row r="19" ht="30" customHeight="1">
      <x:c r="A19" s="13" t="str">
        <x:v>制度落实能降低无评估现象</x:v>
      </x:c>
      <x:c r="B19" s="13" t="str">
        <x:v>9/32对76/130；差−30.34个百分点</x:v>
      </x:c>
      <x:c r="C19" s="13" t="str">
        <x:v>Fisher p=0.002773；家族内BH q=0.008318</x:v>
      </x:c>
      <x:c r="D19" s="13" t="str">
        <x:v>仅支持关联</x:v>
      </x:c>
      <x:c r="E19" s="13" t="str">
        <x:v>横断面自报、混杂和医院重复无法排除</x:v>
      </x:c>
    </x:row>
    <x:row r="20" ht="30" customHeight="1">
      <x:c r="A20" s="13" t="str">
        <x:v>Q11缺失完全随机</x:v>
      </x:c>
      <x:c r="B20" s="13" t="str">
        <x:v>有效总人数98，其余64</x:v>
      </x:c>
      <x:c r="C20" s="13" t="str">
        <x:v>可用性与职务、学历、职称及医院类别存在探索性关联</x:v>
      </x:c>
      <x:c r="D20" s="13" t="str">
        <x:v>不宜假设</x:v>
      </x:c>
      <x:c r="E20" s="13" t="str">
        <x:v>不能将有效填报子样本结构直接外推至全部162份</x:v>
      </x:c>
    </x:row>
    <x:row r="21" ht="30" customHeight="1">
      <x:c r="A21" s="13" t="str">
        <x:v>开放意见主题代表全体受访者</x:v>
      </x:c>
      <x:c r="B21" s="13" t="str">
        <x:v>12份实质意见，关键词辅助并逐条人工复核</x:v>
      </x:c>
      <x:c r="C21" s="13" t="str">
        <x:v>治理与组织支持7条，其他主题可重叠</x:v>
      </x:c>
      <x:c r="D21" s="13" t="str">
        <x:v>不支持</x:v>
      </x:c>
      <x:c r="E21" s="13" t="str">
        <x:v>主题按本次明确规则编码；不公开原文，主题比例仅限12份</x:v>
      </x:c>
    </x:row>
  </x:sheetData>
  <x:conditionalFormatting sqref="D6:D21">
    <x:cfRule type="containsText" dxfId="0" priority="1" operator="containsText" text="需复核"/>
  </x:conditionalFormatting>
  <x:pageMargins left="0.7" right="0.7" top="0.75" bottom="0.75" header="0.3" footer="0.3"/>
  <x:tableParts count="1">
    <x:tablePart xmlns:r="http://schemas.openxmlformats.org/officeDocument/2006/relationships" r:id="Rbc0d18077c1f4c1f"/>
  </x:tableParts>
</x:worksheet>
</file>

<file path=xl/worksheets/sheet14.xml><?xml version="1.0" encoding="utf-8"?>
<x:worksheet xmlns:x="http://schemas.openxmlformats.org/spreadsheetml/2006/main">
  <x:sheetPr>
    <x:tabColor rgb="FF8394A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72" hidden="0" customWidth="1"/>
    <x:col min="4" max="4" width="25" hidden="0" customWidth="1"/>
    <x:col min="5" max="5" width="65" hidden="0" customWidth="1"/>
  </x:cols>
  <x:sheetData>
    <x:row r="1" ht="24" customHeight="1">
      <x:c r="A1" s="2"/>
      <x:c r="B1" s="2"/>
      <x:c r="C1" s="2"/>
      <x:c r="D1" s="2"/>
      <x:c r="E1" s="2"/>
    </x:row>
    <x:row r="2" ht="31" customHeight="1">
      <x:c r="A2" s="4" t="str">
        <x:v>分析方法与47题字典</x:v>
      </x:c>
      <x:c r="B2" s="4"/>
      <x:c r="C2" s="4"/>
      <x:c r="D2" s="4"/>
      <x:c r="E2" s="4"/>
    </x:row>
    <x:row r="3" ht="24" customHeight="1">
      <x:c r="A3" s="5" t="str">
        <x:v>来源：同批162份原始数据的按序号、按文本两个Excel导出；参考PDF只用于报告组织，不提供本次调查数字。</x:v>
      </x:c>
      <x:c r="B3" s="5"/>
      <x:c r="C3" s="5"/>
      <x:c r="D3" s="5"/>
      <x:c r="E3" s="5"/>
    </x:row>
    <x:row r="4" ht="24" customHeight="1">
      <x:c r="A4" s="2"/>
      <x:c r="B4" s="2"/>
      <x:c r="C4" s="2"/>
      <x:c r="D4" s="2"/>
      <x:c r="E4" s="2"/>
    </x:row>
    <x:row r="5" ht="36" customHeight="1">
      <x:c r="A5" s="9" t="str">
        <x:v>项目</x:v>
      </x:c>
      <x:c r="B5" s="9" t="str">
        <x:v>类型</x:v>
      </x:c>
      <x:c r="C5" s="9" t="str">
        <x:v>定义或原题</x:v>
      </x:c>
      <x:c r="D5" s="9" t="str">
        <x:v>来源位置</x:v>
      </x:c>
      <x:c r="E5" s="9" t="str">
        <x:v>口径说明</x:v>
      </x:c>
    </x:row>
    <x:row r="6" ht="30" customHeight="1">
      <x:c r="A6" s="2" t="str">
        <x:v>样本单位</x:v>
      </x:c>
      <x:c r="B6" s="2" t="str">
        <x:v>方法</x:v>
      </x:c>
      <x:c r="C6" s="13" t="str">
        <x:v>统计单位为问卷答卷/受访者，不能把162份答卷写成162家独立医院。</x:v>
      </x:c>
      <x:c r="D6" s="2" t="str">
        <x:v>两份原始数据Excel</x:v>
      </x:c>
      <x:c r="E6" s="13" t="str">
        <x:v>没有独立医院标识的去重，样本自选性和覆盖面限制外推。</x:v>
      </x:c>
    </x:row>
    <x:row r="7" ht="30" customHeight="1">
      <x:c r="A7" s="2" t="str">
        <x:v>有效人数</x:v>
      </x:c>
      <x:c r="B7" s="2" t="str">
        <x:v>方法</x:v>
      </x:c>
      <x:c r="C7" s="13" t="str">
        <x:v>Q11/Q12数值必须可解析为非负整数；空白与非空无效分别统计；合法零值保留。</x:v>
      </x:c>
      <x:c r="D7" s="2" t="str">
        <x:v>Q11、Q12</x:v>
      </x:c>
      <x:c r="E7" s="13" t="str">
        <x:v>不以0代缺失；不因选答题缺失剔除整份问卷。</x:v>
      </x:c>
    </x:row>
    <x:row r="8" ht="30" customHeight="1">
      <x:c r="A8" s="2" t="str">
        <x:v>比例与区间</x:v>
      </x:c>
      <x:c r="B8" s="2" t="str">
        <x:v>方法</x:v>
      </x:c>
      <x:c r="C8" s="13" t="str">
        <x:v>比例=人数/对应有效分母；Wilson 95%比例区间。</x:v>
      </x:c>
      <x:c r="D8" s="2" t="str">
        <x:v>频数、量表、排序与总览</x:v>
      </x:c>
      <x:c r="E8" s="13" t="str">
        <x:v>区间为模型条件下描述性推断，不是全国调查抽样误差。</x:v>
      </x:c>
    </x:row>
    <x:row r="9" ht="30" customHeight="1">
      <x:c r="A9" s="2" t="str">
        <x:v>量表</x:v>
      </x:c>
      <x:c r="B9" s="2" t="str">
        <x:v>方法</x:v>
      </x:c>
      <x:c r="C9" s="13" t="str">
        <x:v>五级分布完整保留；均值、样本标准差和中位数辅助说明。</x:v>
      </x:c>
      <x:c r="D9" s="2" t="str">
        <x:v>Q22、24、26、27、32至35、40、43</x:v>
      </x:c>
      <x:c r="E9" s="13" t="str">
        <x:v>不同题目测量目标和锚点不同，不报告跨题统一能力总分。</x:v>
      </x:c>
    </x:row>
    <x:row r="10" ht="30" customHeight="1">
      <x:c r="A10" s="2" t="str">
        <x:v>分组检验</x:v>
      </x:c>
      <x:c r="B10" s="2" t="str">
        <x:v>方法</x:v>
      </x:c>
      <x:c r="C10" s="13" t="str">
        <x:v>2×2列联表采用Fisher双侧精确检验；独立两比例差采用Newcombe区间。</x:v>
      </x:c>
      <x:c r="D10" s="2" t="str">
        <x:v>分组比较</x:v>
      </x:c>
      <x:c r="E10" s="13" t="str">
        <x:v>BH分别在医院类别12项、管理身份12项、制度落实3项、Q11可用性6项家族内校正。</x:v>
      </x:c>
    </x:row>
    <x:row r="11" ht="30" customHeight="1">
      <x:c r="A11" s="2" t="str">
        <x:v>配对检验</x:v>
      </x:c>
      <x:c r="B11" s="2" t="str">
        <x:v>方法</x:v>
      </x:c>
      <x:c r="C11" s="13" t="str">
        <x:v>Q22先做Friedman整体检验，10对比较采用精确随机符号置换检验，并做BH校正。</x:v>
      </x:c>
      <x:c r="D11" s="2" t="str">
        <x:v>能力差距配对</x:v>
      </x:c>
      <x:c r="E11" s="13" t="str">
        <x:v>配对均值差t区间未校正多重性；均值差和显著性不能替代实际重要性。</x:v>
      </x:c>
    </x:row>
    <x:row r="12" ht="30" customHeight="1">
      <x:c r="A12" s="2" t="str">
        <x:v>质量敏感性</x:v>
      </x:c>
      <x:c r="B12" s="2" t="str">
        <x:v>方法</x:v>
      </x:c>
      <x:c r="C12" s="13" t="str">
        <x:v>全样本162；剔除小于300秒或59量表同分共6份后156；去江苏河南后91。</x:v>
      </x:c>
      <x:c r="D12" s="2" t="str">
        <x:v>答卷敏感性</x:v>
      </x:c>
      <x:c r="E12" s="13" t="str">
        <x:v>这些标记不能证明无效答卷，故仅为敏感性，不改主样本。</x:v>
      </x:c>
    </x:row>
    <x:row r="13" ht="30" customHeight="1">
      <x:c r="A13" s="2" t="str">
        <x:v>人数敏感性</x:v>
      </x:c>
      <x:c r="B13" s="2" t="str">
        <x:v>方法</x:v>
      </x:c>
      <x:c r="C13" s="13" t="str">
        <x:v>比较分项完整、分项和等于总人数、相等且总人数不超过IQR上界102。</x:v>
      </x:c>
      <x:c r="D13" s="2" t="str">
        <x:v>人数结构敏感性</x:v>
      </x:c>
      <x:c r="E13" s="13" t="str">
        <x:v>异常大值不直接删改；筛选后结构比仅作稳定性检查。</x:v>
      </x:c>
    </x:row>
    <x:row r="14" ht="30" customHeight="1">
      <x:c r="A14" s="2" t="str">
        <x:v>开放题</x:v>
      </x:c>
      <x:c r="B14" s="2" t="str">
        <x:v>方法</x:v>
      </x:c>
      <x:c r="C14" s="13" t="str">
        <x:v>剔除无实质内容后12条意见，关键词辅助并逐条人工复核，采用多标签编码。</x:v>
      </x:c>
      <x:c r="D14" s="2" t="str">
        <x:v>Q47</x:v>
      </x:c>
      <x:c r="E14" s="13" t="str">
        <x:v>治理与组织支持7条为本次明确规则口径；主题可重叠，比例仅限12份实质意见。</x:v>
      </x:c>
    </x:row>
    <x:row r="15" ht="30" customHeight="1">
      <x:c r="A15" s="2" t="str">
        <x:v>公开保护</x:v>
      </x:c>
      <x:c r="B15" s="2" t="str">
        <x:v>方法</x:v>
      </x:c>
      <x:c r="C15" s="13" t="str">
        <x:v>只发布汇总表，不含答卷矩阵、序号、IP、城市、准确时间或开放题逐字原文。</x:v>
      </x:c>
      <x:c r="D15" s="2" t="str">
        <x:v>本工作簿</x:v>
      </x:c>
      <x:c r="E15" s="13" t="str">
        <x:v>原始文件保留用于私有复核。</x:v>
      </x:c>
    </x:row>
    <x:row r="16" ht="30" customHeight="1">
      <x:c r="A16" s="2" t="str">
        <x:v>工作簿刷新</x:v>
      </x:c>
      <x:c r="B16" s="2" t="str">
        <x:v>说明</x:v>
      </x:c>
      <x:c r="C16" s="13" t="str">
        <x:v>人数与分布为重算后的聚合输入，比例、量表均值与标准差、排序加权分及比较差值为公式。</x:v>
      </x:c>
      <x:c r="D16" s="2" t="str">
        <x:v>本工作簿</x:v>
      </x:c>
      <x:c r="E16" s="13" t="str">
        <x:v>p值、置信区间与分位数为外部重算的分析快照；如替换数据，须连同对应推断结果一并重算。</x:v>
      </x:c>
    </x:row>
    <x:row r="17" ht="30" customHeight="1">
      <x:c r="A17" s="2" t="str">
        <x:v>选项完整性</x:v>
      </x:c>
      <x:c r="B17" s="2" t="str">
        <x:v>方法</x:v>
      </x:c>
      <x:c r="C17" s="13" t="str">
        <x:v>单选题仅能恢复导出中实际出现的选项标签；未出现且无独立选项列的类别无法凭空重建。</x:v>
      </x:c>
      <x:c r="D17" s="2" t="str">
        <x:v>两份原始数据Excel</x:v>
      </x:c>
      <x:c r="E17" s="13" t="str">
        <x:v>多选与排序题保留全部导出选项列，包括零次选择；量表固定1至5分完整列示。</x:v>
      </x:c>
    </x:row>
    <x:row r="18" ht="36" customHeight="1">
      <x:c r="A18" s="2" t="str">
        <x:v>Q1</x:v>
      </x:c>
      <x:c r="B18" s="2" t="str">
        <x:v>地域</x:v>
      </x:c>
      <x:c r="C18" s="13" t="str">
        <x:v>(1)1.贵院所在省份:___</x:v>
      </x:c>
      <x:c r="D18" s="2" t="str">
        <x:v>数值版 Sheet1!G2:H163</x:v>
      </x:c>
      <x:c r="E18" s="13" t="str">
        <x:v>仅按省份汇总，统一去除省、市后缀（如江苏省与江苏合并）；不发布城市或省份与个人特征交叉组合，不能据省份数量推断地区代表性。</x:v>
      </x:c>
    </x:row>
    <x:row r="19" ht="30" customHeight="1">
      <x:c r="A19" s="2" t="str">
        <x:v>Q2</x:v>
      </x:c>
      <x:c r="B19" s="2" t="str">
        <x:v>单选</x:v>
      </x:c>
      <x:c r="C19" s="13" t="str">
        <x:v>2.贵院类别（单选）</x:v>
      </x:c>
      <x:c r="D19" s="2" t="str">
        <x:v>数值版 Sheet1!I2:I163</x:v>
      </x:c>
      <x:c r="E19" s="13" t="str">
        <x:v>按原题编码和文本标签统计；其他选项中的填写内容不公开。仅展示本样本实际出现的编码。</x:v>
      </x:c>
    </x:row>
    <x:row r="20" ht="30" customHeight="1">
      <x:c r="A20" s="2" t="str">
        <x:v>Q3</x:v>
      </x:c>
      <x:c r="B20" s="2" t="str">
        <x:v>单选</x:v>
      </x:c>
      <x:c r="C20" s="13" t="str">
        <x:v>3.您所在部门（单选）</x:v>
      </x:c>
      <x:c r="D20" s="2" t="str">
        <x:v>数值版 Sheet1!J2:J163</x:v>
      </x:c>
      <x:c r="E20" s="13" t="str">
        <x:v>按原题编码和文本标签统计；其他选项中的填写内容不公开。仅展示本样本实际出现的编码。</x:v>
      </x:c>
    </x:row>
    <x:row r="21" ht="30" customHeight="1">
      <x:c r="A21" s="2" t="str">
        <x:v>Q4</x:v>
      </x:c>
      <x:c r="B21" s="2" t="str">
        <x:v>单选</x:v>
      </x:c>
      <x:c r="C21" s="13" t="str">
        <x:v>4.您的职务（单选）</x:v>
      </x:c>
      <x:c r="D21" s="2" t="str">
        <x:v>数值版 Sheet1!K2:K163</x:v>
      </x:c>
      <x:c r="E21" s="13" t="str">
        <x:v>按原题编码和文本标签统计；其他选项中的填写内容不公开。仅展示本样本实际出现的编码。</x:v>
      </x:c>
    </x:row>
    <x:row r="22" ht="30" customHeight="1">
      <x:c r="A22" s="2" t="str">
        <x:v>Q5</x:v>
      </x:c>
      <x:c r="B22" s="2" t="str">
        <x:v>单选</x:v>
      </x:c>
      <x:c r="C22" s="13" t="str">
        <x:v>5.您的年龄（单选） </x:v>
      </x:c>
      <x:c r="D22" s="2" t="str">
        <x:v>数值版 Sheet1!L2:L163</x:v>
      </x:c>
      <x:c r="E22" s="13" t="str">
        <x:v>按原题编码和文本标签统计；其他选项中的填写内容不公开。仅展示本样本实际出现的编码。</x:v>
      </x:c>
    </x:row>
    <x:row r="23" ht="30" customHeight="1">
      <x:c r="A23" s="2" t="str">
        <x:v>Q6</x:v>
      </x:c>
      <x:c r="B23" s="2" t="str">
        <x:v>单选</x:v>
      </x:c>
      <x:c r="C23" s="13" t="str">
        <x:v>6.您的最高学历（单选）</x:v>
      </x:c>
      <x:c r="D23" s="2" t="str">
        <x:v>数值版 Sheet1!M2:M163</x:v>
      </x:c>
      <x:c r="E23" s="13" t="str">
        <x:v>按原题编码和文本标签统计；其他选项中的填写内容不公开。仅展示本样本实际出现的编码。</x:v>
      </x:c>
    </x:row>
    <x:row r="24" ht="30" customHeight="1">
      <x:c r="A24" s="2" t="str">
        <x:v>Q7</x:v>
      </x:c>
      <x:c r="B24" s="2" t="str">
        <x:v>单选</x:v>
      </x:c>
      <x:c r="C24" s="13" t="str">
        <x:v>7.您的专业背景（单选）</x:v>
      </x:c>
      <x:c r="D24" s="2" t="str">
        <x:v>数值版 Sheet1!N2:N163</x:v>
      </x:c>
      <x:c r="E24" s="13" t="str">
        <x:v>按原题编码和文本标签统计；其他选项中的填写内容不公开。仅展示本样本实际出现的编码。</x:v>
      </x:c>
    </x:row>
    <x:row r="25" ht="30" customHeight="1">
      <x:c r="A25" s="2" t="str">
        <x:v>Q8</x:v>
      </x:c>
      <x:c r="B25" s="2" t="str">
        <x:v>单选</x:v>
      </x:c>
      <x:c r="C25" s="13" t="str">
        <x:v>8.您的职称（单选） </x:v>
      </x:c>
      <x:c r="D25" s="2" t="str">
        <x:v>数值版 Sheet1!O2:O163</x:v>
      </x:c>
      <x:c r="E25" s="13" t="str">
        <x:v>按原题编码和文本标签统计；其他选项中的填写内容不公开。仅展示本样本实际出现的编码。</x:v>
      </x:c>
    </x:row>
    <x:row r="26" ht="30" customHeight="1">
      <x:c r="A26" s="2" t="str">
        <x:v>Q9</x:v>
      </x:c>
      <x:c r="B26" s="2" t="str">
        <x:v>单选</x:v>
      </x:c>
      <x:c r="C26" s="13" t="str">
        <x:v>9.您从事卫生健康经济管理相关工作的年限（单选）</x:v>
      </x:c>
      <x:c r="D26" s="2" t="str">
        <x:v>数值版 Sheet1!P2:P163</x:v>
      </x:c>
      <x:c r="E26" s="13" t="str">
        <x:v>按原题编码和文本标签统计；其他选项中的填写内容不公开。仅展示本样本实际出现的编码。</x:v>
      </x:c>
    </x:row>
    <x:row r="27" ht="30" customHeight="1">
      <x:c r="A27" s="2" t="str">
        <x:v>Q10</x:v>
      </x:c>
      <x:c r="B27" s="2" t="str">
        <x:v>是非矩阵</x:v>
      </x:c>
      <x:c r="C27" s="13" t="str">
        <x:v>10.贵院岗位与机构设置情况（分别勾选）—设置总会计师岗位</x:v>
      </x:c>
      <x:c r="D27" s="2" t="str">
        <x:v>数值版 Sheet1!Q2:U163</x:v>
      </x:c>
      <x:c r="E27" s="13" t="str">
        <x:v>数值编码1=是、2=否，已与文本版交叉核对。</x:v>
      </x:c>
    </x:row>
    <x:row r="28" ht="36" customHeight="1">
      <x:c r="A28" s="2" t="str">
        <x:v>Q11</x:v>
      </x:c>
      <x:c r="B28" s="2" t="str">
        <x:v>选填人数</x:v>
      </x:c>
      <x:c r="C28" s="13" t="str">
        <x:v>(1)11.贵院经济管理人员队伍结构（填写人数，本部分所称经济管理人员，是指总会计师、财务（不含窗口收费人员）、审计、运营、合规、医保、绩效等部门人员，下同。） 在岗总人数___</x:v>
      </x:c>
      <x:c r="D28" s="2" t="str">
        <x:v>数值版 Sheet1!V2:AJ163</x:v>
      </x:c>
      <x:c r="E28" s="13" t="str">
        <x:v>每列使用各自有效非负整数记录；空白与非数值分别报告。计数合计未经医院去重，不能视为独立人员总量。Q12明确允许同人多证。</x:v>
      </x:c>
    </x:row>
    <x:row r="29" ht="36" customHeight="1">
      <x:c r="A29" s="2" t="str">
        <x:v>Q12</x:v>
      </x:c>
      <x:c r="B29" s="2" t="str">
        <x:v>选填人数</x:v>
      </x:c>
      <x:c r="C29" s="13" t="str">
        <x:v>(1)12.贵院经济管理人员中持有会计、审计、经济专业技术资格或CPA/CMA/CIA等职业资格的人员情况（同一人持有多项资格的分别计入） 正高级专业技术资格___</x:v>
      </x:c>
      <x:c r="D29" s="2" t="str">
        <x:v>数值版 Sheet1!AK2:AP163</x:v>
      </x:c>
      <x:c r="E29" s="13" t="str">
        <x:v>每列使用各自有效非负整数记录；空白与非数值分别报告。计数合计未经医院去重，不能视为独立人员总量。Q12明确允许同人多证。</x:v>
      </x:c>
    </x:row>
    <x:row r="30" ht="30" customHeight="1">
      <x:c r="A30" s="2" t="str">
        <x:v>Q13</x:v>
      </x:c>
      <x:c r="B30" s="2" t="str">
        <x:v>单选</x:v>
      </x:c>
      <x:c r="C30" s="13" t="str">
        <x:v>13.贵院经济管理人员配置的充足程度（单选）</x:v>
      </x:c>
      <x:c r="D30" s="2" t="str">
        <x:v>数值版 Sheet1!AQ2:AQ163</x:v>
      </x:c>
      <x:c r="E30" s="13" t="str">
        <x:v>按原题编码和文本标签统计；其他选项中的填写内容不公开。仅展示本样本实际出现的编码。</x:v>
      </x:c>
    </x:row>
    <x:row r="31" ht="30" customHeight="1">
      <x:c r="A31" s="2" t="str">
        <x:v>Q14</x:v>
      </x:c>
      <x:c r="B31" s="2" t="str">
        <x:v>多选</x:v>
      </x:c>
      <x:c r="C31" s="13" t="str">
        <x:v>14.当前最紧缺的岗位（可多选，最多3项）</x:v>
      </x:c>
      <x:c r="D31" s="2" t="str">
        <x:v>数值版 Sheet1!AR2:AZ163</x:v>
      </x:c>
      <x:c r="E31" s="13" t="str">
        <x:v>分母为全部162份答卷；多选比例之和可超过100%。未勾选不能等同独立核实没有。</x:v>
      </x:c>
    </x:row>
    <x:row r="32" ht="30" customHeight="1">
      <x:c r="A32" s="2" t="str">
        <x:v>Q15</x:v>
      </x:c>
      <x:c r="B32" s="2" t="str">
        <x:v>单选</x:v>
      </x:c>
      <x:c r="C32" s="13" t="str">
        <x:v>15.贵院是否建立了经济管理人员培养培训制度并落实到位（单选）</x:v>
      </x:c>
      <x:c r="D32" s="2" t="str">
        <x:v>数值版 Sheet1!BA2:BA163</x:v>
      </x:c>
      <x:c r="E32" s="13" t="str">
        <x:v>按原题编码和文本标签统计；其他选项中的填写内容不公开。仅展示本样本实际出现的编码。</x:v>
      </x:c>
    </x:row>
    <x:row r="33" ht="30" customHeight="1">
      <x:c r="A33" s="2" t="str">
        <x:v>Q16</x:v>
      </x:c>
      <x:c r="B33" s="2" t="str">
        <x:v>单选</x:v>
      </x:c>
      <x:c r="C33" s="13" t="str">
        <x:v>16.贵院经济管理人员年人均培训学时（单选）</x:v>
      </x:c>
      <x:c r="D33" s="2" t="str">
        <x:v>数值版 Sheet1!BB2:BB163</x:v>
      </x:c>
      <x:c r="E33" s="13" t="str">
        <x:v>按原题编码和文本标签统计；其他选项中的填写内容不公开。仅展示本样本实际出现的编码。</x:v>
      </x:c>
    </x:row>
    <x:row r="34" ht="30" customHeight="1">
      <x:c r="A34" s="2" t="str">
        <x:v>Q17</x:v>
      </x:c>
      <x:c r="B34" s="2" t="str">
        <x:v>多选</x:v>
      </x:c>
      <x:c r="C34" s="13" t="str">
        <x:v>17.贵院现有培养培训的内容（可多选）</x:v>
      </x:c>
      <x:c r="D34" s="2" t="str">
        <x:v>数值版 Sheet1!BC2:BJ163</x:v>
      </x:c>
      <x:c r="E34" s="13" t="str">
        <x:v>分母为全部162份答卷；多选比例之和可超过100%。未勾选不能等同独立核实没有。</x:v>
      </x:c>
    </x:row>
    <x:row r="35" ht="30" customHeight="1">
      <x:c r="A35" s="2" t="str">
        <x:v>Q18</x:v>
      </x:c>
      <x:c r="B35" s="2" t="str">
        <x:v>多选</x:v>
      </x:c>
      <x:c r="C35" s="13" t="str">
        <x:v>18.贵院现有培养培训的方式（可多选）</x:v>
      </x:c>
      <x:c r="D35" s="2" t="str">
        <x:v>数值版 Sheet1!BK2:BQ163</x:v>
      </x:c>
      <x:c r="E35" s="13" t="str">
        <x:v>分母为全部162份答卷；多选比例之和可超过100%。未勾选不能等同独立核实没有。</x:v>
      </x:c>
    </x:row>
    <x:row r="36" ht="30" customHeight="1">
      <x:c r="A36" s="2" t="str">
        <x:v>Q19</x:v>
      </x:c>
      <x:c r="B36" s="2" t="str">
        <x:v>多选</x:v>
      </x:c>
      <x:c r="C36" s="13" t="str">
        <x:v>19.当前培养培训工作存在的主要问题（可多选，最多4项）</x:v>
      </x:c>
      <x:c r="D36" s="2" t="str">
        <x:v>数值版 Sheet1!BR2:BZ163</x:v>
      </x:c>
      <x:c r="E36" s="13" t="str">
        <x:v>分母为全部162份答卷；多选比例之和可超过100%。未勾选不能等同独立核实没有。</x:v>
      </x:c>
    </x:row>
    <x:row r="37" ht="30" customHeight="1">
      <x:c r="A37" s="2" t="str">
        <x:v>Q20</x:v>
      </x:c>
      <x:c r="B37" s="2" t="str">
        <x:v>单选</x:v>
      </x:c>
      <x:c r="C37" s="13" t="str">
        <x:v>20.贵院业财融合推进程度（单选） </x:v>
      </x:c>
      <x:c r="D37" s="2" t="str">
        <x:v>数值版 Sheet1!CA2:CA163</x:v>
      </x:c>
      <x:c r="E37" s="13" t="str">
        <x:v>按原题编码和文本标签统计；其他选项中的填写内容不公开。仅展示本样本实际出现的编码。</x:v>
      </x:c>
    </x:row>
    <x:row r="38" ht="30" customHeight="1">
      <x:c r="A38" s="2" t="str">
        <x:v>Q21</x:v>
      </x:c>
      <x:c r="B38" s="2" t="str">
        <x:v>多选</x:v>
      </x:c>
      <x:c r="C38" s="13" t="str">
        <x:v>21.贵院业财融合已实施的管理举措（可多选） </x:v>
      </x:c>
      <x:c r="D38" s="2" t="str">
        <x:v>数值版 Sheet1!CB2:CH163</x:v>
      </x:c>
      <x:c r="E38" s="13" t="str">
        <x:v>分母为全部162份答卷；多选比例之和可超过100%。未勾选不能等同独立核实没有。</x:v>
      </x:c>
    </x:row>
    <x:row r="39" ht="36" customHeight="1">
      <x:c r="A39" s="2" t="str">
        <x:v>Q22</x:v>
      </x:c>
      <x:c r="B39" s="2" t="str">
        <x:v>五级量表</x:v>
      </x:c>
      <x:c r="C39" s="13" t="str">
        <x:v>22.现有队伍与“懂业务、通财务、善管理、会数据、防风险”复合型人才要求的差距有多大?请在相应栏内打“✓”（1=差距很小，5=差距很大） —D1 懂业务:理解医疗业务流程与临床运行规律</x:v>
      </x:c>
      <x:c r="D39" s="2" t="str">
        <x:v>数值版 Sheet1!CI2:CM163</x:v>
      </x:c>
      <x:c r="E39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0" ht="30" customHeight="1">
      <x:c r="A40" s="2" t="str">
        <x:v>Q23</x:v>
      </x:c>
      <x:c r="B40" s="2" t="str">
        <x:v>前三排序</x:v>
      </x:c>
      <x:c r="C40" s="13" t="str">
        <x:v>23.未来3年贵院最急需的经济管理人才类型（请排序前3位，1=最急需，2=次之，3=再次之）</x:v>
      </x:c>
      <x:c r="D40" s="2" t="str">
        <x:v>数值版 Sheet1!CN2:CS163</x:v>
      </x:c>
      <x:c r="E40" s="13" t="str">
        <x:v>首选率与前三入选率分别报告；3、2、1加权分仅为透明描述性排序，不是问卷原有量表或已验证效用。</x:v>
      </x:c>
    </x:row>
    <x:row r="41" ht="36" customHeight="1">
      <x:c r="A41" s="2" t="str">
        <x:v>Q24</x:v>
      </x:c>
      <x:c r="B41" s="2" t="str">
        <x:v>五级量表</x:v>
      </x:c>
      <x:c r="C41" s="13" t="str">
        <x:v>24.对分层分类培养模式各层级培养重点的认同程度（1=很不认同，5=很认同），请在相应栏内打“✓” —E1 新入职人员:夯实财务、医疗、管理、信息交叉基础，强化跟岗实训与基本制度规范</x:v>
      </x:c>
      <x:c r="D41" s="2" t="str">
        <x:v>数值版 Sheet1!CT2:CW163</x:v>
      </x:c>
      <x:c r="E41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2" ht="30" customHeight="1">
      <x:c r="A42" s="2" t="str">
        <x:v>Q25</x:v>
      </x:c>
      <x:c r="B42" s="2" t="str">
        <x:v>前三排序</x:v>
      </x:c>
      <x:c r="C42" s="13" t="str">
        <x:v>25.您认为最有效的培养方式（请选出3项并排序，1=最有效，2=次之，3=再次之）</x:v>
      </x:c>
      <x:c r="D42" s="2" t="str">
        <x:v>数值版 Sheet1!CX2:DE163</x:v>
      </x:c>
      <x:c r="E42" s="13" t="str">
        <x:v>首选率与前三入选率分别报告；3、2、1加权分仅为透明描述性排序，不是问卷原有量表或已验证效用。</x:v>
      </x:c>
    </x:row>
    <x:row r="43" ht="36" customHeight="1">
      <x:c r="A43" s="2" t="str">
        <x:v>Q26</x:v>
      </x:c>
      <x:c r="B43" s="2" t="str">
        <x:v>五级量表</x:v>
      </x:c>
      <x:c r="C43" s="13" t="str">
        <x:v>26.下列课程模块对人才培养的必要程度（1=很没必要，5=很有必要），请在相应栏内打“✓” —F1 战略管理与领导力</x:v>
      </x:c>
      <x:c r="D43" s="2" t="str">
        <x:v>数值版 Sheet1!DF2:DO163</x:v>
      </x:c>
      <x:c r="E43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4" ht="36" customHeight="1">
      <x:c r="A44" s="2" t="str">
        <x:v>Q27</x:v>
      </x:c>
      <x:c r="B44" s="2" t="str">
        <x:v>五级量表</x:v>
      </x:c>
      <x:c r="C44" s="13" t="str">
        <x:v>27.下列培养方式对人才培养的支持作用（1=作用很小，5=作用很大），请在相应栏内打“✓” —G1 案例库与教学案例开发</x:v>
      </x:c>
      <x:c r="D44" s="2" t="str">
        <x:v>数值版 Sheet1!DP2:DT163</x:v>
      </x:c>
      <x:c r="E44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45" ht="30" customHeight="1">
      <x:c r="A45" s="2" t="str">
        <x:v>Q28</x:v>
      </x:c>
      <x:c r="B45" s="2" t="str">
        <x:v>多选</x:v>
      </x:c>
      <x:c r="C45" s="13" t="str">
        <x:v>28.贵院与院校、专业机构的合作形式（可多选） </x:v>
      </x:c>
      <x:c r="D45" s="2" t="str">
        <x:v>数值版 Sheet1!DU2:EA163</x:v>
      </x:c>
      <x:c r="E45" s="13" t="str">
        <x:v>分母为全部162份答卷；多选比例之和可超过100%。未勾选不能等同独立核实没有。</x:v>
      </x:c>
    </x:row>
    <x:row r="46" ht="30" customHeight="1">
      <x:c r="A46" s="2" t="str">
        <x:v>Q29</x:v>
      </x:c>
      <x:c r="B46" s="2" t="str">
        <x:v>单选</x:v>
      </x:c>
      <x:c r="C46" s="13" t="str">
        <x:v>29.贵院与院校、专业机构的 “业务导师+财务导师”双导师制（单选）</x:v>
      </x:c>
      <x:c r="D46" s="2" t="str">
        <x:v>数值版 Sheet1!EB2:EB163</x:v>
      </x:c>
      <x:c r="E46" s="13" t="str">
        <x:v>按原题编码和文本标签统计；其他选项中的填写内容不公开。仅展示本样本实际出现的编码。</x:v>
      </x:c>
    </x:row>
    <x:row r="47" ht="30" customHeight="1">
      <x:c r="A47" s="2" t="str">
        <x:v>Q30</x:v>
      </x:c>
      <x:c r="B47" s="2" t="str">
        <x:v>多选</x:v>
      </x:c>
      <x:c r="C47" s="13" t="str">
        <x:v>30.贵院对培养效果的评估与结果运用方式（可多选）</x:v>
      </x:c>
      <x:c r="D47" s="2" t="str">
        <x:v>数值版 Sheet1!EC2:EG163</x:v>
      </x:c>
      <x:c r="E47" s="13" t="str">
        <x:v>分母为全部162份答卷；多选比例之和可超过100%。未勾选不能等同独立核实没有。</x:v>
      </x:c>
    </x:row>
    <x:row r="48" ht="30" customHeight="1">
      <x:c r="A48" s="2" t="str">
        <x:v>Q31</x:v>
      </x:c>
      <x:c r="B48" s="2" t="str">
        <x:v>单选</x:v>
      </x:c>
      <x:c r="C48" s="13" t="str">
        <x:v>31.您认为经济管理骨干成长为复合型人才所需的合理培养周期（单选）</x:v>
      </x:c>
      <x:c r="D48" s="2" t="str">
        <x:v>数值版 Sheet1!EH2:EH163</x:v>
      </x:c>
      <x:c r="E48" s="13" t="str">
        <x:v>按原题编码和文本标签统计；其他选项中的填写内容不公开。仅展示本样本实际出现的编码。</x:v>
      </x:c>
    </x:row>
    <x:row r="49" ht="36" customHeight="1">
      <x:c r="A49" s="2" t="str">
        <x:v>Q32</x:v>
      </x:c>
      <x:c r="B49" s="2" t="str">
        <x:v>五级量表</x:v>
      </x:c>
      <x:c r="C49" s="13" t="str">
        <x:v>32.下列院内长效保障机制对人才培养落地的重要程度（1=很不重要，5=很重要），请在相应栏内打“✓”—H1 组织领导与归口管理</x:v>
      </x:c>
      <x:c r="D49" s="2" t="str">
        <x:v>数值版 Sheet1!EI2:EP163</x:v>
      </x:c>
      <x:c r="E49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50" ht="36" customHeight="1">
      <x:c r="A50" s="2" t="str">
        <x:v>Q33</x:v>
      </x:c>
      <x:c r="B50" s="2" t="str">
        <x:v>五级量表</x:v>
      </x:c>
      <x:c r="C50" s="13" t="str">
        <x:v>33.对下列人才培养体系机制建设的认同程度（1=很不支持，5=很支持），请在相应栏内打“✓” —I1 建立分层分类培训体系</x:v>
      </x:c>
      <x:c r="D50" s="2" t="str">
        <x:v>数值版 Sheet1!EQ2:EU163</x:v>
      </x:c>
      <x:c r="E50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51" ht="36" customHeight="1">
      <x:c r="A51" s="2" t="str">
        <x:v>Q34</x:v>
      </x:c>
      <x:c r="B51" s="2" t="str">
        <x:v>五级量表</x:v>
      </x:c>
      <x:c r="C51" s="13" t="str">
        <x:v>34.培养结果与考核激励挂钩方式的选择（单选;下列挂钩方式的必要程度1=很没必要，5=很有必要），请在相应栏内打"✓" —J1 评优评先</x:v>
      </x:c>
      <x:c r="D51" s="2" t="str">
        <x:v>数值版 Sheet1!EV2:EZ163</x:v>
      </x:c>
      <x:c r="E51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52" ht="36" customHeight="1">
      <x:c r="A52" s="2" t="str">
        <x:v>Q35</x:v>
      </x:c>
      <x:c r="B52" s="2" t="str">
        <x:v>五级量表</x:v>
      </x:c>
      <x:c r="C52" s="13" t="str">
        <x:v>35.贵院经济管理人员职业发展通道各环节的畅通程度（1=严重梗阻，5=非常畅通），请在相应栏内打"✓" —K1 职称评审与聘任通道</x:v>
      </x:c>
      <x:c r="D52" s="2" t="str">
        <x:v>数值版 Sheet1!FA2:FF163</x:v>
      </x:c>
      <x:c r="E52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53" ht="30" customHeight="1">
      <x:c r="A53" s="2" t="str">
        <x:v>Q36</x:v>
      </x:c>
      <x:c r="B53" s="2" t="str">
        <x:v>单选</x:v>
      </x:c>
      <x:c r="C53" s="13" t="str">
        <x:v>36.贵院经济管理人员年人均培训经费（单选）</x:v>
      </x:c>
      <x:c r="D53" s="2" t="str">
        <x:v>数值版 Sheet1!FG2:FG163</x:v>
      </x:c>
      <x:c r="E53" s="13" t="str">
        <x:v>按原题编码和文本标签统计；其他选项中的填写内容不公开。仅展示本样本实际出现的编码。</x:v>
      </x:c>
    </x:row>
    <x:row r="54" ht="30" customHeight="1">
      <x:c r="A54" s="2" t="str">
        <x:v>Q37</x:v>
      </x:c>
      <x:c r="B54" s="2" t="str">
        <x:v>多选</x:v>
      </x:c>
      <x:c r="C54" s="13" t="str">
        <x:v>37.贵院经济管理人员培养经费来源（可多选）</x:v>
      </x:c>
      <x:c r="D54" s="2" t="str">
        <x:v>数值版 Sheet1!FH2:FL163</x:v>
      </x:c>
      <x:c r="E54" s="13" t="str">
        <x:v>分母为全部162份答卷；多选比例之和可超过100%。未勾选不能等同独立核实没有。</x:v>
      </x:c>
    </x:row>
    <x:row r="55" ht="30" customHeight="1">
      <x:c r="A55" s="2" t="str">
        <x:v>Q38</x:v>
      </x:c>
      <x:c r="B55" s="2" t="str">
        <x:v>前三排序</x:v>
      </x:c>
      <x:c r="C55" s="13" t="str">
        <x:v>38.您最希望主管部门出台的政策支持（请排序前3位，1=最迫切，2=次之，3=再次之）</x:v>
      </x:c>
      <x:c r="D55" s="2" t="str">
        <x:v>数值版 Sheet1!FM2:FS163</x:v>
      </x:c>
      <x:c r="E55" s="13" t="str">
        <x:v>首选率与前三入选率分别报告；3、2、1加权分仅为透明描述性排序，不是问卷原有量表或已验证效用。</x:v>
      </x:c>
    </x:row>
    <x:row r="56" ht="30" customHeight="1">
      <x:c r="A56" s="2" t="str">
        <x:v>Q39</x:v>
      </x:c>
      <x:c r="B56" s="2" t="str">
        <x:v>是非矩阵</x:v>
      </x:c>
      <x:c r="C56" s="13" t="str">
        <x:v>39.贵院人才培养组织管理情况（分别勾选）—成立人才培养领导小组</x:v>
      </x:c>
      <x:c r="D56" s="2" t="str">
        <x:v>数值版 Sheet1!FT2:FW163</x:v>
      </x:c>
      <x:c r="E56" s="13" t="str">
        <x:v>数值编码1=是、2=否，已与文本版交叉核对。</x:v>
      </x:c>
    </x:row>
    <x:row r="57" ht="36" customHeight="1">
      <x:c r="A57" s="2" t="str">
        <x:v>Q40</x:v>
      </x:c>
      <x:c r="B57" s="2" t="str">
        <x:v>五级量表</x:v>
      </x:c>
      <x:c r="C57" s="13" t="str">
        <x:v>40.对“在校培养—岗位适应—能力提升—领军人才”四阶段全链条培养路径各环节重点的认同程度（1=很不认同，5=很认同），请在相应栏内打“✓”—L1 在校培养阶段:夯实财务、医疗、管理、信息交叉基础知识</x:v>
      </x:c>
      <x:c r="D57" s="2" t="str">
        <x:v>数值版 Sheet1!FX2:GA163</x:v>
      </x:c>
      <x:c r="E57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58" ht="30" customHeight="1">
      <x:c r="A58" s="2" t="str">
        <x:v>Q41</x:v>
      </x:c>
      <x:c r="B58" s="2" t="str">
        <x:v>单选</x:v>
      </x:c>
      <x:c r="C58" s="13" t="str">
        <x:v>41.贵院经济管理人员跨部门轮岗开展情况（单选）</x:v>
      </x:c>
      <x:c r="D58" s="2" t="str">
        <x:v>数值版 Sheet1!GB2:GB163</x:v>
      </x:c>
      <x:c r="E58" s="13" t="str">
        <x:v>按原题编码和文本标签统计；其他选项中的填写内容不公开。仅展示本样本实际出现的编码。</x:v>
      </x:c>
    </x:row>
    <x:row r="59" ht="30" customHeight="1">
      <x:c r="A59" s="2" t="str">
        <x:v>Q42</x:v>
      </x:c>
      <x:c r="B59" s="2" t="str">
        <x:v>单选</x:v>
      </x:c>
      <x:c r="C59" s="13" t="str">
        <x:v>42.贵院经济管理人员跨部门轮岗频次（单选）</x:v>
      </x:c>
      <x:c r="D59" s="2" t="str">
        <x:v>数值版 Sheet1!GC2:GC163</x:v>
      </x:c>
      <x:c r="E59" s="13" t="str">
        <x:v>按原题编码和文本标签统计；其他选项中的填写内容不公开。仅展示本样本实际出现的编码。</x:v>
      </x:c>
    </x:row>
    <x:row r="60" ht="36" customHeight="1">
      <x:c r="A60" s="2" t="str">
        <x:v>Q43</x:v>
      </x:c>
      <x:c r="B60" s="2" t="str">
        <x:v>五级量表</x:v>
      </x:c>
      <x:c r="C60" s="13" t="str">
        <x:v>43.下列实战项目历练对能力提升的重要程度（1=很不重要，5=很重要），请在相应栏内打“✓” —M1 参与年度预算编制与执行分析</x:v>
      </x:c>
      <x:c r="D60" s="2" t="str">
        <x:v>数值版 Sheet1!GD2:GJ163</x:v>
      </x:c>
      <x:c r="E60" s="13" t="str">
        <x:v>保留完整五级分布，均值为辅助描述。Q22高分代表差距较大；Q35高分代表通道较畅通；其余各题以原题锚点解释。不同量表不能简单合并为人才能力总分。</x:v>
      </x:c>
    </x:row>
    <x:row r="61" ht="30" customHeight="1">
      <x:c r="A61" s="2" t="str">
        <x:v>Q44</x:v>
      </x:c>
      <x:c r="B61" s="2" t="str">
        <x:v>多选</x:v>
      </x:c>
      <x:c r="C61" s="13" t="str">
        <x:v>44.您认为可行的实践基地建设路径（可多选）</x:v>
      </x:c>
      <x:c r="D61" s="2" t="str">
        <x:v>数值版 Sheet1!GK2:GN163</x:v>
      </x:c>
      <x:c r="E61" s="13" t="str">
        <x:v>分母为全部162份答卷；多选比例之和可超过100%。未勾选不能等同独立核实没有。</x:v>
      </x:c>
    </x:row>
    <x:row r="62" ht="30" customHeight="1">
      <x:c r="A62" s="2" t="str">
        <x:v>Q45</x:v>
      </x:c>
      <x:c r="B62" s="2" t="str">
        <x:v>多选</x:v>
      </x:c>
      <x:c r="C62" s="13" t="str">
        <x:v>45.贵院培养成果转化途径（可多选）</x:v>
      </x:c>
      <x:c r="D62" s="2" t="str">
        <x:v>数值版 Sheet1!GO2:GR163</x:v>
      </x:c>
      <x:c r="E62" s="13" t="str">
        <x:v>分母为全部162份答卷；多选比例之和可超过100%。未勾选不能等同独立核实没有。</x:v>
      </x:c>
    </x:row>
    <x:row r="63" ht="30" customHeight="1">
      <x:c r="A63" s="2" t="str">
        <x:v>Q46</x:v>
      </x:c>
      <x:c r="B63" s="2" t="str">
        <x:v>多选</x:v>
      </x:c>
      <x:c r="C63" s="13" t="str">
        <x:v>46.您认为培养成果难以转化落地的主要障碍是（可多选，最多3项）</x:v>
      </x:c>
      <x:c r="D63" s="2" t="str">
        <x:v>数值版 Sheet1!GS2:GX163</x:v>
      </x:c>
      <x:c r="E63" s="13" t="str">
        <x:v>分母为全部162份答卷；多选比例之和可超过100%。未勾选不能等同独立核实没有。</x:v>
      </x:c>
    </x:row>
    <x:row r="64" ht="36" customHeight="1">
      <x:c r="A64" s="2" t="str">
        <x:v>Q47</x:v>
      </x:c>
      <x:c r="B64" s="2" t="str">
        <x:v>开放建议</x:v>
      </x:c>
      <x:c r="C64" s="13" t="str">
        <x:v>47.您对业财融合视角下卫生健康经济管理人才培养模式、机制建设与实践路径的意见建议:</x:v>
      </x:c>
      <x:c r="D64" s="2" t="str">
        <x:v>文本版 Sheet1!DY2:DY163；数值版GY2:GY163仅用于有无意见计数</x:v>
      </x:c>
      <x:c r="E64" s="13" t="str">
        <x:v>实质意见12份，其他150份；关键词辅助、逐条人工复核的多标签探索性编码，主题可重叠，不公开原文或答卷标识；比例不能外推至全样本。</x:v>
      </x:c>
    </x:row>
  </x:sheetData>
  <x:pageMargins left="0.7" right="0.7" top="0.75" bottom="0.75" header="0.3" footer="0.3"/>
  <x:tableParts count="1">
    <x:tablePart xmlns:r="http://schemas.openxmlformats.org/officeDocument/2006/relationships" r:id="Rb12ffb6c85e249f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1.5" hidden="0" customWidth="1"/>
    <x:col min="3" max="3" width="79" hidden="0" customWidth="1"/>
    <x:col min="4" max="4" width="26" hidden="0" customWidth="1"/>
    <x:col min="5" max="5" width="24" hidden="0" customWidth="1"/>
  </x:cols>
  <x:sheetData>
    <x:row r="1" ht="24" customHeight="1">
      <x:c r="A1" s="2"/>
      <x:c r="B1" s="2"/>
      <x:c r="C1" s="2"/>
      <x:c r="D1" s="2"/>
      <x:c r="E1" s="2"/>
    </x:row>
    <x:row r="2" ht="31" customHeight="1">
      <x:c r="A2" s="4" t="str">
        <x:v>201个题目字段与来源位置</x:v>
      </x:c>
      <x:c r="B2" s="4"/>
      <x:c r="C2" s="4"/>
      <x:c r="D2" s="4"/>
      <x:c r="E2" s="4"/>
    </x:row>
    <x:row r="3" ht="24" customHeight="1">
      <x:c r="A3" s="5" t="str">
        <x:v>完整保留原字段含义；仅列字段结构，不附任何受访者级数据。</x:v>
      </x:c>
      <x:c r="B3" s="5"/>
      <x:c r="C3" s="5"/>
      <x:c r="D3" s="5"/>
      <x:c r="E3" s="5"/>
    </x:row>
    <x:row r="4" ht="24" customHeight="1">
      <x:c r="A4" s="2"/>
      <x:c r="B4" s="2"/>
      <x:c r="C4" s="2"/>
      <x:c r="D4" s="2"/>
      <x:c r="E4" s="2"/>
    </x:row>
    <x:row r="5" ht="36" customHeight="1">
      <x:c r="A5" s="9" t="str">
        <x:v>题号</x:v>
      </x:c>
      <x:c r="B5" s="9" t="str">
        <x:v>题型</x:v>
      </x:c>
      <x:c r="C5" s="9" t="str">
        <x:v>原始字段名</x:v>
      </x:c>
      <x:c r="D5" s="9" t="str">
        <x:v>原始单元格范围</x:v>
      </x:c>
      <x:c r="E5" s="9" t="str">
        <x:v>公开处理</x:v>
      </x:c>
    </x:row>
    <x:row r="6" ht="30" customHeight="1">
      <x:c r="A6" s="2" t="str">
        <x:v>Q1</x:v>
      </x:c>
      <x:c r="B6" s="2" t="str">
        <x:v>地域</x:v>
      </x:c>
      <x:c r="C6" s="13" t="str">
        <x:v>(1)1.贵院所在省份:___</x:v>
      </x:c>
      <x:c r="D6" s="2" t="str">
        <x:v>数值版 Sheet1!G2:G163</x:v>
      </x:c>
      <x:c r="E6" s="13" t="str">
        <x:v>仅汇总</x:v>
      </x:c>
    </x:row>
    <x:row r="7" ht="30" customHeight="1">
      <x:c r="A7" s="2" t="str">
        <x:v>Q1</x:v>
      </x:c>
      <x:c r="B7" s="2" t="str">
        <x:v>地域</x:v>
      </x:c>
      <x:c r="C7" s="13" t="str">
        <x:v>(2)省（自治区、直辖市）___市</x:v>
      </x:c>
      <x:c r="D7" s="2" t="str">
        <x:v>数值版 Sheet1!H2:H163</x:v>
      </x:c>
      <x:c r="E7" s="13" t="str">
        <x:v>城市不公开，仅省级汇总</x:v>
      </x:c>
    </x:row>
    <x:row r="8" ht="30" customHeight="1">
      <x:c r="A8" s="2" t="str">
        <x:v>Q2</x:v>
      </x:c>
      <x:c r="B8" s="2" t="str">
        <x:v>单选</x:v>
      </x:c>
      <x:c r="C8" s="13" t="str">
        <x:v>2.贵院类别（单选）</x:v>
      </x:c>
      <x:c r="D8" s="2" t="str">
        <x:v>数值版 Sheet1!I2:I163</x:v>
      </x:c>
      <x:c r="E8" s="13" t="str">
        <x:v>仅汇总</x:v>
      </x:c>
    </x:row>
    <x:row r="9" ht="30" customHeight="1">
      <x:c r="A9" s="2" t="str">
        <x:v>Q3</x:v>
      </x:c>
      <x:c r="B9" s="2" t="str">
        <x:v>单选</x:v>
      </x:c>
      <x:c r="C9" s="13" t="str">
        <x:v>3.您所在部门（单选）</x:v>
      </x:c>
      <x:c r="D9" s="2" t="str">
        <x:v>数值版 Sheet1!J2:J163</x:v>
      </x:c>
      <x:c r="E9" s="13" t="str">
        <x:v>仅汇总</x:v>
      </x:c>
    </x:row>
    <x:row r="10" ht="30" customHeight="1">
      <x:c r="A10" s="2" t="str">
        <x:v>Q4</x:v>
      </x:c>
      <x:c r="B10" s="2" t="str">
        <x:v>单选</x:v>
      </x:c>
      <x:c r="C10" s="13" t="str">
        <x:v>4.您的职务（单选）</x:v>
      </x:c>
      <x:c r="D10" s="2" t="str">
        <x:v>数值版 Sheet1!K2:K163</x:v>
      </x:c>
      <x:c r="E10" s="13" t="str">
        <x:v>仅汇总</x:v>
      </x:c>
    </x:row>
    <x:row r="11" ht="30" customHeight="1">
      <x:c r="A11" s="2" t="str">
        <x:v>Q5</x:v>
      </x:c>
      <x:c r="B11" s="2" t="str">
        <x:v>单选</x:v>
      </x:c>
      <x:c r="C11" s="13" t="str">
        <x:v>5.您的年龄（单选） </x:v>
      </x:c>
      <x:c r="D11" s="2" t="str">
        <x:v>数值版 Sheet1!L2:L163</x:v>
      </x:c>
      <x:c r="E11" s="13" t="str">
        <x:v>仅汇总</x:v>
      </x:c>
    </x:row>
    <x:row r="12" ht="30" customHeight="1">
      <x:c r="A12" s="2" t="str">
        <x:v>Q6</x:v>
      </x:c>
      <x:c r="B12" s="2" t="str">
        <x:v>单选</x:v>
      </x:c>
      <x:c r="C12" s="13" t="str">
        <x:v>6.您的最高学历（单选）</x:v>
      </x:c>
      <x:c r="D12" s="2" t="str">
        <x:v>数值版 Sheet1!M2:M163</x:v>
      </x:c>
      <x:c r="E12" s="13" t="str">
        <x:v>仅汇总</x:v>
      </x:c>
    </x:row>
    <x:row r="13" ht="30" customHeight="1">
      <x:c r="A13" s="2" t="str">
        <x:v>Q7</x:v>
      </x:c>
      <x:c r="B13" s="2" t="str">
        <x:v>单选</x:v>
      </x:c>
      <x:c r="C13" s="13" t="str">
        <x:v>7.您的专业背景（单选）</x:v>
      </x:c>
      <x:c r="D13" s="2" t="str">
        <x:v>数值版 Sheet1!N2:N163</x:v>
      </x:c>
      <x:c r="E13" s="13" t="str">
        <x:v>仅汇总</x:v>
      </x:c>
    </x:row>
    <x:row r="14" ht="30" customHeight="1">
      <x:c r="A14" s="2" t="str">
        <x:v>Q8</x:v>
      </x:c>
      <x:c r="B14" s="2" t="str">
        <x:v>单选</x:v>
      </x:c>
      <x:c r="C14" s="13" t="str">
        <x:v>8.您的职称（单选） </x:v>
      </x:c>
      <x:c r="D14" s="2" t="str">
        <x:v>数值版 Sheet1!O2:O163</x:v>
      </x:c>
      <x:c r="E14" s="13" t="str">
        <x:v>仅汇总</x:v>
      </x:c>
    </x:row>
    <x:row r="15" ht="30" customHeight="1">
      <x:c r="A15" s="2" t="str">
        <x:v>Q9</x:v>
      </x:c>
      <x:c r="B15" s="2" t="str">
        <x:v>单选</x:v>
      </x:c>
      <x:c r="C15" s="13" t="str">
        <x:v>9.您从事卫生健康经济管理相关工作的年限（单选）</x:v>
      </x:c>
      <x:c r="D15" s="2" t="str">
        <x:v>数值版 Sheet1!P2:P163</x:v>
      </x:c>
      <x:c r="E15" s="13" t="str">
        <x:v>仅汇总</x:v>
      </x:c>
    </x:row>
    <x:row r="16" ht="30" customHeight="1">
      <x:c r="A16" s="2" t="str">
        <x:v>Q10</x:v>
      </x:c>
      <x:c r="B16" s="2" t="str">
        <x:v>是非矩阵</x:v>
      </x:c>
      <x:c r="C16" s="13" t="str">
        <x:v>10.贵院岗位与机构设置情况（分别勾选）—设置总会计师岗位</x:v>
      </x:c>
      <x:c r="D16" s="2" t="str">
        <x:v>数值版 Sheet1!Q2:Q163</x:v>
      </x:c>
      <x:c r="E16" s="13" t="str">
        <x:v>仅汇总</x:v>
      </x:c>
    </x:row>
    <x:row r="17" ht="30" customHeight="1">
      <x:c r="A17" s="2" t="str">
        <x:v>Q10</x:v>
      </x:c>
      <x:c r="B17" s="2" t="str">
        <x:v>是非矩阵</x:v>
      </x:c>
      <x:c r="C17" s="13" t="str">
        <x:v>设立独立运营管理部门</x:v>
      </x:c>
      <x:c r="D17" s="2" t="str">
        <x:v>数值版 Sheet1!R2:R163</x:v>
      </x:c>
      <x:c r="E17" s="13" t="str">
        <x:v>仅汇总</x:v>
      </x:c>
    </x:row>
    <x:row r="18" ht="30" customHeight="1">
      <x:c r="A18" s="2" t="str">
        <x:v>Q10</x:v>
      </x:c>
      <x:c r="B18" s="2" t="str">
        <x:v>是非矩阵</x:v>
      </x:c>
      <x:c r="C18" s="13" t="str">
        <x:v>设置独立医保管理部门</x:v>
      </x:c>
      <x:c r="D18" s="2" t="str">
        <x:v>数值版 Sheet1!S2:S163</x:v>
      </x:c>
      <x:c r="E18" s="13" t="str">
        <x:v>仅汇总</x:v>
      </x:c>
    </x:row>
    <x:row r="19" ht="30" customHeight="1">
      <x:c r="A19" s="2" t="str">
        <x:v>Q10</x:v>
      </x:c>
      <x:c r="B19" s="2" t="str">
        <x:v>是非矩阵</x:v>
      </x:c>
      <x:c r="C19" s="13" t="str">
        <x:v>设置独立内部审计部门</x:v>
      </x:c>
      <x:c r="D19" s="2" t="str">
        <x:v>数值版 Sheet1!T2:T163</x:v>
      </x:c>
      <x:c r="E19" s="13" t="str">
        <x:v>仅汇总</x:v>
      </x:c>
    </x:row>
    <x:row r="20" ht="30" customHeight="1">
      <x:c r="A20" s="2" t="str">
        <x:v>Q10</x:v>
      </x:c>
      <x:c r="B20" s="2" t="str">
        <x:v>是非矩阵</x:v>
      </x:c>
      <x:c r="C20" s="13" t="str">
        <x:v>明确经济管理人员培养归口管理部门</x:v>
      </x:c>
      <x:c r="D20" s="2" t="str">
        <x:v>数值版 Sheet1!U2:U163</x:v>
      </x:c>
      <x:c r="E20" s="13" t="str">
        <x:v>仅汇总</x:v>
      </x:c>
    </x:row>
    <x:row r="21" ht="36" customHeight="1">
      <x:c r="A21" s="2" t="str">
        <x:v>Q11</x:v>
      </x:c>
      <x:c r="B21" s="2" t="str">
        <x:v>选填人数</x:v>
      </x:c>
      <x:c r="C21" s="13" t="str">
        <x:v>(1)11.贵院经济管理人员队伍结构（填写人数，本部分所称经济管理人员，是指总会计师、财务（不含窗口收费人员）、审计、运营、合规、医保、绩效等部门人员，下同。） 在岗总人数___</x:v>
      </x:c>
      <x:c r="D21" s="2" t="str">
        <x:v>数值版 Sheet1!V2:V163</x:v>
      </x:c>
      <x:c r="E21" s="13" t="str">
        <x:v>仅汇总</x:v>
      </x:c>
    </x:row>
    <x:row r="22" ht="30" customHeight="1">
      <x:c r="A22" s="2" t="str">
        <x:v>Q11</x:v>
      </x:c>
      <x:c r="B22" s="2" t="str">
        <x:v>选填人数</x:v>
      </x:c>
      <x:c r="C22" s="13" t="str">
        <x:v>(2)人;其中:博士___</x:v>
      </x:c>
      <x:c r="D22" s="2" t="str">
        <x:v>数值版 Sheet1!W2:W163</x:v>
      </x:c>
      <x:c r="E22" s="13" t="str">
        <x:v>仅汇总</x:v>
      </x:c>
    </x:row>
    <x:row r="23" ht="30" customHeight="1">
      <x:c r="A23" s="2" t="str">
        <x:v>Q11</x:v>
      </x:c>
      <x:c r="B23" s="2" t="str">
        <x:v>选填人数</x:v>
      </x:c>
      <x:c r="C23" s="13" t="str">
        <x:v>(3)人  硕士___</x:v>
      </x:c>
      <x:c r="D23" s="2" t="str">
        <x:v>数值版 Sheet1!X2:X163</x:v>
      </x:c>
      <x:c r="E23" s="13" t="str">
        <x:v>仅汇总</x:v>
      </x:c>
    </x:row>
    <x:row r="24" ht="30" customHeight="1">
      <x:c r="A24" s="2" t="str">
        <x:v>Q11</x:v>
      </x:c>
      <x:c r="B24" s="2" t="str">
        <x:v>选填人数</x:v>
      </x:c>
      <x:c r="C24" s="13" t="str">
        <x:v>(4)人  本科___</x:v>
      </x:c>
      <x:c r="D24" s="2" t="str">
        <x:v>数值版 Sheet1!Y2:Y163</x:v>
      </x:c>
      <x:c r="E24" s="13" t="str">
        <x:v>仅汇总</x:v>
      </x:c>
    </x:row>
    <x:row r="25" ht="30" customHeight="1">
      <x:c r="A25" s="2" t="str">
        <x:v>Q11</x:v>
      </x:c>
      <x:c r="B25" s="2" t="str">
        <x:v>选填人数</x:v>
      </x:c>
      <x:c r="C25" s="13" t="str">
        <x:v>(5)人  大专及以下___</x:v>
      </x:c>
      <x:c r="D25" s="2" t="str">
        <x:v>数值版 Sheet1!Z2:Z163</x:v>
      </x:c>
      <x:c r="E25" s="13" t="str">
        <x:v>仅汇总</x:v>
      </x:c>
    </x:row>
    <x:row r="26" ht="30" customHeight="1">
      <x:c r="A26" s="2" t="str">
        <x:v>Q11</x:v>
      </x:c>
      <x:c r="B26" s="2" t="str">
        <x:v>选填人数</x:v>
      </x:c>
      <x:c r="C26" s="13" t="str">
        <x:v>(6)人 、 职称:正高级___</x:v>
      </x:c>
      <x:c r="D26" s="2" t="str">
        <x:v>数值版 Sheet1!AA2:AA163</x:v>
      </x:c>
      <x:c r="E26" s="13" t="str">
        <x:v>仅汇总</x:v>
      </x:c>
    </x:row>
    <x:row r="27" ht="30" customHeight="1">
      <x:c r="A27" s="2" t="str">
        <x:v>Q11</x:v>
      </x:c>
      <x:c r="B27" s="2" t="str">
        <x:v>选填人数</x:v>
      </x:c>
      <x:c r="C27" s="13" t="str">
        <x:v>(7)人  副高级___</x:v>
      </x:c>
      <x:c r="D27" s="2" t="str">
        <x:v>数值版 Sheet1!AB2:AB163</x:v>
      </x:c>
      <x:c r="E27" s="13" t="str">
        <x:v>仅汇总</x:v>
      </x:c>
    </x:row>
    <x:row r="28" ht="30" customHeight="1">
      <x:c r="A28" s="2" t="str">
        <x:v>Q11</x:v>
      </x:c>
      <x:c r="B28" s="2" t="str">
        <x:v>选填人数</x:v>
      </x:c>
      <x:c r="C28" s="13" t="str">
        <x:v>(8)人  中级___</x:v>
      </x:c>
      <x:c r="D28" s="2" t="str">
        <x:v>数值版 Sheet1!AC2:AC163</x:v>
      </x:c>
      <x:c r="E28" s="13" t="str">
        <x:v>仅汇总</x:v>
      </x:c>
    </x:row>
    <x:row r="29" ht="30" customHeight="1">
      <x:c r="A29" s="2" t="str">
        <x:v>Q11</x:v>
      </x:c>
      <x:c r="B29" s="2" t="str">
        <x:v>选填人数</x:v>
      </x:c>
      <x:c r="C29" s="13" t="str">
        <x:v>(9)人  初级及以下___</x:v>
      </x:c>
      <x:c r="D29" s="2" t="str">
        <x:v>数值版 Sheet1!AD2:AD163</x:v>
      </x:c>
      <x:c r="E29" s="13" t="str">
        <x:v>仅汇总</x:v>
      </x:c>
    </x:row>
    <x:row r="30" ht="30" customHeight="1">
      <x:c r="A30" s="2" t="str">
        <x:v>Q11</x:v>
      </x:c>
      <x:c r="B30" s="2" t="str">
        <x:v>选填人数</x:v>
      </x:c>
      <x:c r="C30" s="13" t="str">
        <x:v>(10)人 、专业背景:财会审计类___</x:v>
      </x:c>
      <x:c r="D30" s="2" t="str">
        <x:v>数值版 Sheet1!AE2:AE163</x:v>
      </x:c>
      <x:c r="E30" s="13" t="str">
        <x:v>仅汇总</x:v>
      </x:c>
    </x:row>
    <x:row r="31" ht="30" customHeight="1">
      <x:c r="A31" s="2" t="str">
        <x:v>Q11</x:v>
      </x:c>
      <x:c r="B31" s="2" t="str">
        <x:v>选填人数</x:v>
      </x:c>
      <x:c r="C31" s="13" t="str">
        <x:v>(11)人  医疗/护理类___</x:v>
      </x:c>
      <x:c r="D31" s="2" t="str">
        <x:v>数值版 Sheet1!AF2:AF163</x:v>
      </x:c>
      <x:c r="E31" s="13" t="str">
        <x:v>仅汇总</x:v>
      </x:c>
    </x:row>
    <x:row r="32" ht="30" customHeight="1">
      <x:c r="A32" s="2" t="str">
        <x:v>Q11</x:v>
      </x:c>
      <x:c r="B32" s="2" t="str">
        <x:v>选填人数</x:v>
      </x:c>
      <x:c r="C32" s="13" t="str">
        <x:v>(12)人  卫生管理类___</x:v>
      </x:c>
      <x:c r="D32" s="2" t="str">
        <x:v>数值版 Sheet1!AG2:AG163</x:v>
      </x:c>
      <x:c r="E32" s="13" t="str">
        <x:v>仅汇总</x:v>
      </x:c>
    </x:row>
    <x:row r="33" ht="30" customHeight="1">
      <x:c r="A33" s="2" t="str">
        <x:v>Q11</x:v>
      </x:c>
      <x:c r="B33" s="2" t="str">
        <x:v>选填人数</x:v>
      </x:c>
      <x:c r="C33" s="13" t="str">
        <x:v>(13)人  信息技术类___</x:v>
      </x:c>
      <x:c r="D33" s="2" t="str">
        <x:v>数值版 Sheet1!AH2:AH163</x:v>
      </x:c>
      <x:c r="E33" s="13" t="str">
        <x:v>仅汇总</x:v>
      </x:c>
    </x:row>
    <x:row r="34" ht="30" customHeight="1">
      <x:c r="A34" s="2" t="str">
        <x:v>Q11</x:v>
      </x:c>
      <x:c r="B34" s="2" t="str">
        <x:v>选填人数</x:v>
      </x:c>
      <x:c r="C34" s="13" t="str">
        <x:v>(14)人  经济金融类___</x:v>
      </x:c>
      <x:c r="D34" s="2" t="str">
        <x:v>数值版 Sheet1!AI2:AI163</x:v>
      </x:c>
      <x:c r="E34" s="13" t="str">
        <x:v>仅汇总</x:v>
      </x:c>
    </x:row>
    <x:row r="35" ht="30" customHeight="1">
      <x:c r="A35" s="2" t="str">
        <x:v>Q11</x:v>
      </x:c>
      <x:c r="B35" s="2" t="str">
        <x:v>选填人数</x:v>
      </x:c>
      <x:c r="C35" s="13" t="str">
        <x:v>(15)人  其他___人  （如不清楚，可不填写）</x:v>
      </x:c>
      <x:c r="D35" s="2" t="str">
        <x:v>数值版 Sheet1!AJ2:AJ163</x:v>
      </x:c>
      <x:c r="E35" s="13" t="str">
        <x:v>仅汇总</x:v>
      </x:c>
    </x:row>
    <x:row r="36" ht="36" customHeight="1">
      <x:c r="A36" s="2" t="str">
        <x:v>Q12</x:v>
      </x:c>
      <x:c r="B36" s="2" t="str">
        <x:v>选填人数</x:v>
      </x:c>
      <x:c r="C36" s="13" t="str">
        <x:v>(1)12.贵院经济管理人员中持有会计、审计、经济专业技术资格或CPA/CMA/CIA等职业资格的人员情况（同一人持有多项资格的分别计入） 正高级专业技术资格___</x:v>
      </x:c>
      <x:c r="D36" s="2" t="str">
        <x:v>数值版 Sheet1!AK2:AK163</x:v>
      </x:c>
      <x:c r="E36" s="13" t="str">
        <x:v>仅汇总</x:v>
      </x:c>
    </x:row>
    <x:row r="37" ht="30" customHeight="1">
      <x:c r="A37" s="2" t="str">
        <x:v>Q12</x:v>
      </x:c>
      <x:c r="B37" s="2" t="str">
        <x:v>选填人数</x:v>
      </x:c>
      <x:c r="C37" s="13" t="str">
        <x:v>(2)人  副高级专业技术资格___</x:v>
      </x:c>
      <x:c r="D37" s="2" t="str">
        <x:v>数值版 Sheet1!AL2:AL163</x:v>
      </x:c>
      <x:c r="E37" s="13" t="str">
        <x:v>仅汇总</x:v>
      </x:c>
    </x:row>
    <x:row r="38" ht="30" customHeight="1">
      <x:c r="A38" s="2" t="str">
        <x:v>Q12</x:v>
      </x:c>
      <x:c r="B38" s="2" t="str">
        <x:v>选填人数</x:v>
      </x:c>
      <x:c r="C38" s="13" t="str">
        <x:v>(3)人 中级专业技术资格___</x:v>
      </x:c>
      <x:c r="D38" s="2" t="str">
        <x:v>数值版 Sheet1!AM2:AM163</x:v>
      </x:c>
      <x:c r="E38" s="13" t="str">
        <x:v>仅汇总</x:v>
      </x:c>
    </x:row>
    <x:row r="39" ht="30" customHeight="1">
      <x:c r="A39" s="2" t="str">
        <x:v>Q12</x:v>
      </x:c>
      <x:c r="B39" s="2" t="str">
        <x:v>选填人数</x:v>
      </x:c>
      <x:c r="C39" s="13" t="str">
        <x:v>(4)人  初级及以下专业技术资格___</x:v>
      </x:c>
      <x:c r="D39" s="2" t="str">
        <x:v>数值版 Sheet1!AN2:AN163</x:v>
      </x:c>
      <x:c r="E39" s="13" t="str">
        <x:v>仅汇总</x:v>
      </x:c>
    </x:row>
    <x:row r="40" ht="30" customHeight="1">
      <x:c r="A40" s="2" t="str">
        <x:v>Q12</x:v>
      </x:c>
      <x:c r="B40" s="2" t="str">
        <x:v>选填人数</x:v>
      </x:c>
      <x:c r="C40" s="13" t="str">
        <x:v>(5)人 注册会计师（CPA）___</x:v>
      </x:c>
      <x:c r="D40" s="2" t="str">
        <x:v>数值版 Sheet1!AO2:AO163</x:v>
      </x:c>
      <x:c r="E40" s="13" t="str">
        <x:v>仅汇总</x:v>
      </x:c>
    </x:row>
    <x:row r="41" ht="30" customHeight="1">
      <x:c r="A41" s="2" t="str">
        <x:v>Q12</x:v>
      </x:c>
      <x:c r="B41" s="2" t="str">
        <x:v>选填人数</x:v>
      </x:c>
      <x:c r="C41" s="13" t="str">
        <x:v>(6)人  管理会计师（CMA）___人 （如不清楚，可不填写）</x:v>
      </x:c>
      <x:c r="D41" s="2" t="str">
        <x:v>数值版 Sheet1!AP2:AP163</x:v>
      </x:c>
      <x:c r="E41" s="13" t="str">
        <x:v>仅汇总</x:v>
      </x:c>
    </x:row>
    <x:row r="42" ht="30" customHeight="1">
      <x:c r="A42" s="2" t="str">
        <x:v>Q13</x:v>
      </x:c>
      <x:c r="B42" s="2" t="str">
        <x:v>单选</x:v>
      </x:c>
      <x:c r="C42" s="13" t="str">
        <x:v>13.贵院经济管理人员配置的充足程度（单选）</x:v>
      </x:c>
      <x:c r="D42" s="2" t="str">
        <x:v>数值版 Sheet1!AQ2:AQ163</x:v>
      </x:c>
      <x:c r="E42" s="13" t="str">
        <x:v>仅汇总</x:v>
      </x:c>
    </x:row>
    <x:row r="43" ht="30" customHeight="1">
      <x:c r="A43" s="2" t="str">
        <x:v>Q14</x:v>
      </x:c>
      <x:c r="B43" s="2" t="str">
        <x:v>多选</x:v>
      </x:c>
      <x:c r="C43" s="13" t="str">
        <x:v>14.当前最紧缺的岗位（可多选，最多3项）(A.成本核算)</x:v>
      </x:c>
      <x:c r="D43" s="2" t="str">
        <x:v>数值版 Sheet1!AR2:AR163</x:v>
      </x:c>
      <x:c r="E43" s="13" t="str">
        <x:v>仅汇总</x:v>
      </x:c>
    </x:row>
    <x:row r="44" ht="30" customHeight="1">
      <x:c r="A44" s="2" t="str">
        <x:v>Q14</x:v>
      </x:c>
      <x:c r="B44" s="2" t="str">
        <x:v>多选</x:v>
      </x:c>
      <x:c r="C44" s="13" t="str">
        <x:v>14(B.预算管理)</x:v>
      </x:c>
      <x:c r="D44" s="2" t="str">
        <x:v>数值版 Sheet1!AS2:AS163</x:v>
      </x:c>
      <x:c r="E44" s="13" t="str">
        <x:v>仅汇总</x:v>
      </x:c>
    </x:row>
    <x:row r="45" ht="30" customHeight="1">
      <x:c r="A45" s="2" t="str">
        <x:v>Q14</x:v>
      </x:c>
      <x:c r="B45" s="2" t="str">
        <x:v>多选</x:v>
      </x:c>
      <x:c r="C45" s="13" t="str">
        <x:v>14(C.运营分析)</x:v>
      </x:c>
      <x:c r="D45" s="2" t="str">
        <x:v>数值版 Sheet1!AT2:AT163</x:v>
      </x:c>
      <x:c r="E45" s="13" t="str">
        <x:v>仅汇总</x:v>
      </x:c>
    </x:row>
    <x:row r="46" ht="30" customHeight="1">
      <x:c r="A46" s="2" t="str">
        <x:v>Q14</x:v>
      </x:c>
      <x:c r="B46" s="2" t="str">
        <x:v>多选</x:v>
      </x:c>
      <x:c r="C46" s="13" t="str">
        <x:v>14(D.医保管理)</x:v>
      </x:c>
      <x:c r="D46" s="2" t="str">
        <x:v>数值版 Sheet1!AU2:AU163</x:v>
      </x:c>
      <x:c r="E46" s="13" t="str">
        <x:v>仅汇总</x:v>
      </x:c>
    </x:row>
    <x:row r="47" ht="30" customHeight="1">
      <x:c r="A47" s="2" t="str">
        <x:v>Q14</x:v>
      </x:c>
      <x:c r="B47" s="2" t="str">
        <x:v>多选</x:v>
      </x:c>
      <x:c r="C47" s="13" t="str">
        <x:v>14(E.内部审计)</x:v>
      </x:c>
      <x:c r="D47" s="2" t="str">
        <x:v>数值版 Sheet1!AV2:AV163</x:v>
      </x:c>
      <x:c r="E47" s="13" t="str">
        <x:v>仅汇总</x:v>
      </x:c>
    </x:row>
    <x:row r="48" ht="30" customHeight="1">
      <x:c r="A48" s="2" t="str">
        <x:v>Q14</x:v>
      </x:c>
      <x:c r="B48" s="2" t="str">
        <x:v>多选</x:v>
      </x:c>
      <x:c r="C48" s="13" t="str">
        <x:v>14(F.物价管理)</x:v>
      </x:c>
      <x:c r="D48" s="2" t="str">
        <x:v>数值版 Sheet1!AW2:AW163</x:v>
      </x:c>
      <x:c r="E48" s="13" t="str">
        <x:v>仅汇总</x:v>
      </x:c>
    </x:row>
    <x:row r="49" ht="30" customHeight="1">
      <x:c r="A49" s="2" t="str">
        <x:v>Q14</x:v>
      </x:c>
      <x:c r="B49" s="2" t="str">
        <x:v>多选</x:v>
      </x:c>
      <x:c r="C49" s="13" t="str">
        <x:v>14(G.绩效管理)</x:v>
      </x:c>
      <x:c r="D49" s="2" t="str">
        <x:v>数值版 Sheet1!AX2:AX163</x:v>
      </x:c>
      <x:c r="E49" s="13" t="str">
        <x:v>仅汇总</x:v>
      </x:c>
    </x:row>
    <x:row r="50" ht="30" customHeight="1">
      <x:c r="A50" s="2" t="str">
        <x:v>Q14</x:v>
      </x:c>
      <x:c r="B50" s="2" t="str">
        <x:v>多选</x:v>
      </x:c>
      <x:c r="C50" s="13" t="str">
        <x:v>14(H.数据分析/信息化)</x:v>
      </x:c>
      <x:c r="D50" s="2" t="str">
        <x:v>数值版 Sheet1!AY2:AY163</x:v>
      </x:c>
      <x:c r="E50" s="13" t="str">
        <x:v>仅汇总</x:v>
      </x:c>
    </x:row>
    <x:row r="51" ht="30" customHeight="1">
      <x:c r="A51" s="2" t="str">
        <x:v>Q14</x:v>
      </x:c>
      <x:c r="B51" s="2" t="str">
        <x:v>多选</x:v>
      </x:c>
      <x:c r="C51" s="13" t="str">
        <x:v>14(I.综合财务管理)</x:v>
      </x:c>
      <x:c r="D51" s="2" t="str">
        <x:v>数值版 Sheet1!AZ2:AZ163</x:v>
      </x:c>
      <x:c r="E51" s="13" t="str">
        <x:v>仅汇总</x:v>
      </x:c>
    </x:row>
    <x:row r="52" ht="30" customHeight="1">
      <x:c r="A52" s="2" t="str">
        <x:v>Q15</x:v>
      </x:c>
      <x:c r="B52" s="2" t="str">
        <x:v>单选</x:v>
      </x:c>
      <x:c r="C52" s="13" t="str">
        <x:v>15.贵院是否建立了经济管理人员培养培训制度并落实到位（单选）</x:v>
      </x:c>
      <x:c r="D52" s="2" t="str">
        <x:v>数值版 Sheet1!BA2:BA163</x:v>
      </x:c>
      <x:c r="E52" s="13" t="str">
        <x:v>仅汇总</x:v>
      </x:c>
    </x:row>
    <x:row r="53" ht="30" customHeight="1">
      <x:c r="A53" s="2" t="str">
        <x:v>Q16</x:v>
      </x:c>
      <x:c r="B53" s="2" t="str">
        <x:v>单选</x:v>
      </x:c>
      <x:c r="C53" s="13" t="str">
        <x:v>16.贵院经济管理人员年人均培训学时（单选）</x:v>
      </x:c>
      <x:c r="D53" s="2" t="str">
        <x:v>数值版 Sheet1!BB2:BB163</x:v>
      </x:c>
      <x:c r="E53" s="13" t="str">
        <x:v>仅汇总</x:v>
      </x:c>
    </x:row>
    <x:row r="54" ht="30" customHeight="1">
      <x:c r="A54" s="2" t="str">
        <x:v>Q17</x:v>
      </x:c>
      <x:c r="B54" s="2" t="str">
        <x:v>多选</x:v>
      </x:c>
      <x:c r="C54" s="13" t="str">
        <x:v>17.贵院现有培养培训的内容（可多选）(A.会计准则与制度)</x:v>
      </x:c>
      <x:c r="D54" s="2" t="str">
        <x:v>数值版 Sheet1!BC2:BC163</x:v>
      </x:c>
      <x:c r="E54" s="13" t="str">
        <x:v>仅汇总</x:v>
      </x:c>
    </x:row>
    <x:row r="55" ht="30" customHeight="1">
      <x:c r="A55" s="2" t="str">
        <x:v>Q17</x:v>
      </x:c>
      <x:c r="B55" s="2" t="str">
        <x:v>多选</x:v>
      </x:c>
      <x:c r="C55" s="13" t="str">
        <x:v>17(B.预算绩效管理)</x:v>
      </x:c>
      <x:c r="D55" s="2" t="str">
        <x:v>数值版 Sheet1!BD2:BD163</x:v>
      </x:c>
      <x:c r="E55" s="13" t="str">
        <x:v>仅汇总</x:v>
      </x:c>
    </x:row>
    <x:row r="56" ht="30" customHeight="1">
      <x:c r="A56" s="2" t="str">
        <x:v>Q17</x:v>
      </x:c>
      <x:c r="B56" s="2" t="str">
        <x:v>多选</x:v>
      </x:c>
      <x:c r="C56" s="13" t="str">
        <x:v>17(C.DRG/DIP与医保政策)</x:v>
      </x:c>
      <x:c r="D56" s="2" t="str">
        <x:v>数值版 Sheet1!BE2:BE163</x:v>
      </x:c>
      <x:c r="E56" s="13" t="str">
        <x:v>仅汇总</x:v>
      </x:c>
    </x:row>
    <x:row r="57" ht="30" customHeight="1">
      <x:c r="A57" s="2" t="str">
        <x:v>Q17</x:v>
      </x:c>
      <x:c r="B57" s="2" t="str">
        <x:v>多选</x:v>
      </x:c>
      <x:c r="C57" s="13" t="str">
        <x:v>17(D.成本核算)</x:v>
      </x:c>
      <x:c r="D57" s="2" t="str">
        <x:v>数值版 Sheet1!BF2:BF163</x:v>
      </x:c>
      <x:c r="E57" s="13" t="str">
        <x:v>仅汇总</x:v>
      </x:c>
    </x:row>
    <x:row r="58" ht="30" customHeight="1">
      <x:c r="A58" s="2" t="str">
        <x:v>Q17</x:v>
      </x:c>
      <x:c r="B58" s="2" t="str">
        <x:v>多选</x:v>
      </x:c>
      <x:c r="C58" s="13" t="str">
        <x:v>17(E.信息化与数据工具)</x:v>
      </x:c>
      <x:c r="D58" s="2" t="str">
        <x:v>数值版 Sheet1!BG2:BG163</x:v>
      </x:c>
      <x:c r="E58" s="13" t="str">
        <x:v>仅汇总</x:v>
      </x:c>
    </x:row>
    <x:row r="59" ht="30" customHeight="1">
      <x:c r="A59" s="2" t="str">
        <x:v>Q17</x:v>
      </x:c>
      <x:c r="B59" s="2" t="str">
        <x:v>多选</x:v>
      </x:c>
      <x:c r="C59" s="13" t="str">
        <x:v>17(F.管理沟通与领导力)</x:v>
      </x:c>
      <x:c r="D59" s="2" t="str">
        <x:v>数值版 Sheet1!BH2:BH163</x:v>
      </x:c>
      <x:c r="E59" s="13" t="str">
        <x:v>仅汇总</x:v>
      </x:c>
    </x:row>
    <x:row r="60" ht="30" customHeight="1">
      <x:c r="A60" s="2" t="str">
        <x:v>Q17</x:v>
      </x:c>
      <x:c r="B60" s="2" t="str">
        <x:v>多选</x:v>
      </x:c>
      <x:c r="C60" s="13" t="str">
        <x:v>17(G.政策法规与合规)</x:v>
      </x:c>
      <x:c r="D60" s="2" t="str">
        <x:v>数值版 Sheet1!BI2:BI163</x:v>
      </x:c>
      <x:c r="E60" s="13" t="str">
        <x:v>仅汇总</x:v>
      </x:c>
    </x:row>
    <x:row r="61" ht="30" customHeight="1">
      <x:c r="A61" s="2" t="str">
        <x:v>Q17</x:v>
      </x:c>
      <x:c r="B61" s="2" t="str">
        <x:v>多选</x:v>
      </x:c>
      <x:c r="C61" s="13" t="str">
        <x:v>17(H.其他)</x:v>
      </x:c>
      <x:c r="D61" s="2" t="str">
        <x:v>数值版 Sheet1!BJ2:BJ163</x:v>
      </x:c>
      <x:c r="E61" s="13" t="str">
        <x:v>仅汇总</x:v>
      </x:c>
    </x:row>
    <x:row r="62" ht="30" customHeight="1">
      <x:c r="A62" s="2" t="str">
        <x:v>Q18</x:v>
      </x:c>
      <x:c r="B62" s="2" t="str">
        <x:v>多选</x:v>
      </x:c>
      <x:c r="C62" s="13" t="str">
        <x:v>18.贵院现有培养培训的方式（可多选）(A.院内讲座)</x:v>
      </x:c>
      <x:c r="D62" s="2" t="str">
        <x:v>数值版 Sheet1!BK2:BK163</x:v>
      </x:c>
      <x:c r="E62" s="13" t="str">
        <x:v>仅汇总</x:v>
      </x:c>
    </x:row>
    <x:row r="63" ht="30" customHeight="1">
      <x:c r="A63" s="2" t="str">
        <x:v>Q18</x:v>
      </x:c>
      <x:c r="B63" s="2" t="str">
        <x:v>多选</x:v>
      </x:c>
      <x:c r="C63" s="13" t="str">
        <x:v>18(B.外派短期集中培训)</x:v>
      </x:c>
      <x:c r="D63" s="2" t="str">
        <x:v>数值版 Sheet1!BL2:BL163</x:v>
      </x:c>
      <x:c r="E63" s="13" t="str">
        <x:v>仅汇总</x:v>
      </x:c>
    </x:row>
    <x:row r="64" ht="30" customHeight="1">
      <x:c r="A64" s="2" t="str">
        <x:v>Q18</x:v>
      </x:c>
      <x:c r="B64" s="2" t="str">
        <x:v>多选</x:v>
      </x:c>
      <x:c r="C64" s="13" t="str">
        <x:v>18(C.学历学位教育)</x:v>
      </x:c>
      <x:c r="D64" s="2" t="str">
        <x:v>数值版 Sheet1!BM2:BM163</x:v>
      </x:c>
      <x:c r="E64" s="13" t="str">
        <x:v>仅汇总</x:v>
      </x:c>
    </x:row>
    <x:row r="65" ht="30" customHeight="1">
      <x:c r="A65" s="2" t="str">
        <x:v>Q18</x:v>
      </x:c>
      <x:c r="B65" s="2" t="str">
        <x:v>多选</x:v>
      </x:c>
      <x:c r="C65" s="13" t="str">
        <x:v>18(D.跟岗学习/轮岗)</x:v>
      </x:c>
      <x:c r="D65" s="2" t="str">
        <x:v>数值版 Sheet1!BN2:BN163</x:v>
      </x:c>
      <x:c r="E65" s="13" t="str">
        <x:v>仅汇总</x:v>
      </x:c>
    </x:row>
    <x:row r="66" ht="30" customHeight="1">
      <x:c r="A66" s="2" t="str">
        <x:v>Q18</x:v>
      </x:c>
      <x:c r="B66" s="2" t="str">
        <x:v>多选</x:v>
      </x:c>
      <x:c r="C66" s="13" t="str">
        <x:v>18(E.线上课程)</x:v>
      </x:c>
      <x:c r="D66" s="2" t="str">
        <x:v>数值版 Sheet1!BO2:BO163</x:v>
      </x:c>
      <x:c r="E66" s="13" t="str">
        <x:v>仅汇总</x:v>
      </x:c>
    </x:row>
    <x:row r="67" ht="30" customHeight="1">
      <x:c r="A67" s="2" t="str">
        <x:v>Q18</x:v>
      </x:c>
      <x:c r="B67" s="2" t="str">
        <x:v>多选</x:v>
      </x:c>
      <x:c r="C67" s="13" t="str">
        <x:v>18(F.导师制带教)</x:v>
      </x:c>
      <x:c r="D67" s="2" t="str">
        <x:v>数值版 Sheet1!BP2:BP163</x:v>
      </x:c>
      <x:c r="E67" s="13" t="str">
        <x:v>仅汇总</x:v>
      </x:c>
    </x:row>
    <x:row r="68" ht="30" customHeight="1">
      <x:c r="A68" s="2" t="str">
        <x:v>Q18</x:v>
      </x:c>
      <x:c r="B68" s="2" t="str">
        <x:v>多选</x:v>
      </x:c>
      <x:c r="C68" s="13" t="str">
        <x:v>18(G.学术会议与专题研讨)</x:v>
      </x:c>
      <x:c r="D68" s="2" t="str">
        <x:v>数值版 Sheet1!BQ2:BQ163</x:v>
      </x:c>
      <x:c r="E68" s="13" t="str">
        <x:v>仅汇总</x:v>
      </x:c>
    </x:row>
    <x:row r="69" ht="30" customHeight="1">
      <x:c r="A69" s="2" t="str">
        <x:v>Q19</x:v>
      </x:c>
      <x:c r="B69" s="2" t="str">
        <x:v>多选</x:v>
      </x:c>
      <x:c r="C69" s="13" t="str">
        <x:v>19.当前培养培训工作存在的主要问题（可多选，最多4项）(A.培训内容脱离医院实务)</x:v>
      </x:c>
      <x:c r="D69" s="2" t="str">
        <x:v>数值版 Sheet1!BR2:BR163</x:v>
      </x:c>
      <x:c r="E69" s="13" t="str">
        <x:v>仅汇总</x:v>
      </x:c>
    </x:row>
    <x:row r="70" ht="30" customHeight="1">
      <x:c r="A70" s="2" t="str">
        <x:v>Q19</x:v>
      </x:c>
      <x:c r="B70" s="2" t="str">
        <x:v>多选</x:v>
      </x:c>
      <x:c r="C70" s="13" t="str">
        <x:v>19(B.短期集中为主、缺乏跟踪管理)</x:v>
      </x:c>
      <x:c r="D70" s="2" t="str">
        <x:v>数值版 Sheet1!BS2:BS163</x:v>
      </x:c>
      <x:c r="E70" s="13" t="str">
        <x:v>仅汇总</x:v>
      </x:c>
    </x:row>
    <x:row r="71" ht="30" customHeight="1">
      <x:c r="A71" s="2" t="str">
        <x:v>Q19</x:v>
      </x:c>
      <x:c r="B71" s="2" t="str">
        <x:v>多选</x:v>
      </x:c>
      <x:c r="C71" s="13" t="str">
        <x:v>19(C.缺乏效果评估机制)</x:v>
      </x:c>
      <x:c r="D71" s="2" t="str">
        <x:v>数值版 Sheet1!BT2:BT163</x:v>
      </x:c>
      <x:c r="E71" s="13" t="str">
        <x:v>仅汇总</x:v>
      </x:c>
    </x:row>
    <x:row r="72" ht="30" customHeight="1">
      <x:c r="A72" s="2" t="str">
        <x:v>Q19</x:v>
      </x:c>
      <x:c r="B72" s="2" t="str">
        <x:v>多选</x:v>
      </x:c>
      <x:c r="C72" s="13" t="str">
        <x:v>19(D.分层分类不够、针对性不强)</x:v>
      </x:c>
      <x:c r="D72" s="2" t="str">
        <x:v>数值版 Sheet1!BU2:BU163</x:v>
      </x:c>
      <x:c r="E72" s="13" t="str">
        <x:v>仅汇总</x:v>
      </x:c>
    </x:row>
    <x:row r="73" ht="30" customHeight="1">
      <x:c r="A73" s="2" t="str">
        <x:v>Q19</x:v>
      </x:c>
      <x:c r="B73" s="2" t="str">
        <x:v>多选</x:v>
      </x:c>
      <x:c r="C73" s="13" t="str">
        <x:v>19(E.师资力量不足)</x:v>
      </x:c>
      <x:c r="D73" s="2" t="str">
        <x:v>数值版 Sheet1!BV2:BV163</x:v>
      </x:c>
      <x:c r="E73" s="13" t="str">
        <x:v>仅汇总</x:v>
      </x:c>
    </x:row>
    <x:row r="74" ht="30" customHeight="1">
      <x:c r="A74" s="2" t="str">
        <x:v>Q19</x:v>
      </x:c>
      <x:c r="B74" s="2" t="str">
        <x:v>多选</x:v>
      </x:c>
      <x:c r="C74" s="13" t="str">
        <x:v>19(F.工作学习矛盾突出、时间难保障)</x:v>
      </x:c>
      <x:c r="D74" s="2" t="str">
        <x:v>数值版 Sheet1!BW2:BW163</x:v>
      </x:c>
      <x:c r="E74" s="13" t="str">
        <x:v>仅汇总</x:v>
      </x:c>
    </x:row>
    <x:row r="75" ht="30" customHeight="1">
      <x:c r="A75" s="2" t="str">
        <x:v>Q19</x:v>
      </x:c>
      <x:c r="B75" s="2" t="str">
        <x:v>多选</x:v>
      </x:c>
      <x:c r="C75" s="13" t="str">
        <x:v>19(G.缺乏考核激励、学用脱节)</x:v>
      </x:c>
      <x:c r="D75" s="2" t="str">
        <x:v>数值版 Sheet1!BX2:BX163</x:v>
      </x:c>
      <x:c r="E75" s="13" t="str">
        <x:v>仅汇总</x:v>
      </x:c>
    </x:row>
    <x:row r="76" ht="30" customHeight="1">
      <x:c r="A76" s="2" t="str">
        <x:v>Q19</x:v>
      </x:c>
      <x:c r="B76" s="2" t="str">
        <x:v>多选</x:v>
      </x:c>
      <x:c r="C76" s="13" t="str">
        <x:v>19(H.经费投入不足)</x:v>
      </x:c>
      <x:c r="D76" s="2" t="str">
        <x:v>数值版 Sheet1!BY2:BY163</x:v>
      </x:c>
      <x:c r="E76" s="13" t="str">
        <x:v>仅汇总</x:v>
      </x:c>
    </x:row>
    <x:row r="77" ht="30" customHeight="1">
      <x:c r="A77" s="2" t="str">
        <x:v>Q19</x:v>
      </x:c>
      <x:c r="B77" s="2" t="str">
        <x:v>多选</x:v>
      </x:c>
      <x:c r="C77" s="13" t="str">
        <x:v>19(I.其他)</x:v>
      </x:c>
      <x:c r="D77" s="2" t="str">
        <x:v>数值版 Sheet1!BZ2:BZ163</x:v>
      </x:c>
      <x:c r="E77" s="13" t="str">
        <x:v>仅汇总</x:v>
      </x:c>
    </x:row>
    <x:row r="78" ht="30" customHeight="1">
      <x:c r="A78" s="2" t="str">
        <x:v>Q20</x:v>
      </x:c>
      <x:c r="B78" s="2" t="str">
        <x:v>单选</x:v>
      </x:c>
      <x:c r="C78" s="13" t="str">
        <x:v>20.贵院业财融合推进程度（单选） </x:v>
      </x:c>
      <x:c r="D78" s="2" t="str">
        <x:v>数值版 Sheet1!CA2:CA163</x:v>
      </x:c>
      <x:c r="E78" s="13" t="str">
        <x:v>仅汇总</x:v>
      </x:c>
    </x:row>
    <x:row r="79" ht="30" customHeight="1">
      <x:c r="A79" s="2" t="str">
        <x:v>Q21</x:v>
      </x:c>
      <x:c r="B79" s="2" t="str">
        <x:v>多选</x:v>
      </x:c>
      <x:c r="C79" s="13" t="str">
        <x:v>21.贵院业财融合已实施的管理举措（可多选） (A.DRG/DIP医保支付方式改革)</x:v>
      </x:c>
      <x:c r="D79" s="2" t="str">
        <x:v>数值版 Sheet1!CB2:CB163</x:v>
      </x:c>
      <x:c r="E79" s="13" t="str">
        <x:v>仅汇总</x:v>
      </x:c>
    </x:row>
    <x:row r="80" ht="30" customHeight="1">
      <x:c r="A80" s="2" t="str">
        <x:v>Q21</x:v>
      </x:c>
      <x:c r="B80" s="2" t="str">
        <x:v>多选</x:v>
      </x:c>
      <x:c r="C80" s="13" t="str">
        <x:v>21(B.全面预算管理)</x:v>
      </x:c>
      <x:c r="D80" s="2" t="str">
        <x:v>数值版 Sheet1!CC2:CC163</x:v>
      </x:c>
      <x:c r="E80" s="13" t="str">
        <x:v>仅汇总</x:v>
      </x:c>
    </x:row>
    <x:row r="81" ht="30" customHeight="1">
      <x:c r="A81" s="2" t="str">
        <x:v>Q21</x:v>
      </x:c>
      <x:c r="B81" s="2" t="str">
        <x:v>多选</x:v>
      </x:c>
      <x:c r="C81" s="13" t="str">
        <x:v>21(C.全成本核算)</x:v>
      </x:c>
      <x:c r="D81" s="2" t="str">
        <x:v>数值版 Sheet1!CD2:CD163</x:v>
      </x:c>
      <x:c r="E81" s="13" t="str">
        <x:v>仅汇总</x:v>
      </x:c>
    </x:row>
    <x:row r="82" ht="30" customHeight="1">
      <x:c r="A82" s="2" t="str">
        <x:v>Q21</x:v>
      </x:c>
      <x:c r="B82" s="2" t="str">
        <x:v>多选</x:v>
      </x:c>
      <x:c r="C82" s="13" t="str">
        <x:v>21(D.公立医院绩效考核)</x:v>
      </x:c>
      <x:c r="D82" s="2" t="str">
        <x:v>数值版 Sheet1!CE2:CE163</x:v>
      </x:c>
      <x:c r="E82" s="13" t="str">
        <x:v>仅汇总</x:v>
      </x:c>
    </x:row>
    <x:row r="83" ht="30" customHeight="1">
      <x:c r="A83" s="2" t="str">
        <x:v>Q21</x:v>
      </x:c>
      <x:c r="B83" s="2" t="str">
        <x:v>多选</x:v>
      </x:c>
      <x:c r="C83" s="13" t="str">
        <x:v>21(E.内部控制建设与财会监督)</x:v>
      </x:c>
      <x:c r="D83" s="2" t="str">
        <x:v>数值版 Sheet1!CF2:CF163</x:v>
      </x:c>
      <x:c r="E83" s="13" t="str">
        <x:v>仅汇总</x:v>
      </x:c>
    </x:row>
    <x:row r="84" ht="30" customHeight="1">
      <x:c r="A84" s="2" t="str">
        <x:v>Q21</x:v>
      </x:c>
      <x:c r="B84" s="2" t="str">
        <x:v>多选</x:v>
      </x:c>
      <x:c r="C84" s="13" t="str">
        <x:v>21(F.智慧医院/运营数据中心建设)</x:v>
      </x:c>
      <x:c r="D84" s="2" t="str">
        <x:v>数值版 Sheet1!CG2:CG163</x:v>
      </x:c>
      <x:c r="E84" s="13" t="str">
        <x:v>仅汇总</x:v>
      </x:c>
    </x:row>
    <x:row r="85" ht="30" customHeight="1">
      <x:c r="A85" s="2" t="str">
        <x:v>Q21</x:v>
      </x:c>
      <x:c r="B85" s="2" t="str">
        <x:v>多选</x:v>
      </x:c>
      <x:c r="C85" s="13" t="str">
        <x:v>21(G.其他)</x:v>
      </x:c>
      <x:c r="D85" s="2" t="str">
        <x:v>数值版 Sheet1!CH2:CH163</x:v>
      </x:c>
      <x:c r="E85" s="13" t="str">
        <x:v>仅汇总</x:v>
      </x:c>
    </x:row>
    <x:row r="86" ht="36" customHeight="1">
      <x:c r="A86" s="2" t="str">
        <x:v>Q22</x:v>
      </x:c>
      <x:c r="B86" s="2" t="str">
        <x:v>五级量表</x:v>
      </x:c>
      <x:c r="C86" s="13" t="str">
        <x:v>22.现有队伍与“懂业务、通财务、善管理、会数据、防风险”复合型人才要求的差距有多大?请在相应栏内打“✓”（1=差距很小，5=差距很大） —D1 懂业务:理解医疗业务流程与临床运行规律</x:v>
      </x:c>
      <x:c r="D86" s="2" t="str">
        <x:v>数值版 Sheet1!CI2:CI163</x:v>
      </x:c>
      <x:c r="E86" s="13" t="str">
        <x:v>仅汇总</x:v>
      </x:c>
    </x:row>
    <x:row r="87" ht="30" customHeight="1">
      <x:c r="A87" s="2" t="str">
        <x:v>Q22</x:v>
      </x:c>
      <x:c r="B87" s="2" t="str">
        <x:v>五级量表</x:v>
      </x:c>
      <x:c r="C87" s="13" t="str">
        <x:v>D2 通财务:掌握财务、预算、成本专业知识</x:v>
      </x:c>
      <x:c r="D87" s="2" t="str">
        <x:v>数值版 Sheet1!CJ2:CJ163</x:v>
      </x:c>
      <x:c r="E87" s="13" t="str">
        <x:v>仅汇总</x:v>
      </x:c>
    </x:row>
    <x:row r="88" ht="30" customHeight="1">
      <x:c r="A88" s="2" t="str">
        <x:v>Q22</x:v>
      </x:c>
      <x:c r="B88" s="2" t="str">
        <x:v>五级量表</x:v>
      </x:c>
      <x:c r="C88" s="13" t="str">
        <x:v>D3 善管理:具备运营管理与综合协调能力</x:v>
      </x:c>
      <x:c r="D88" s="2" t="str">
        <x:v>数值版 Sheet1!CK2:CK163</x:v>
      </x:c>
      <x:c r="E88" s="13" t="str">
        <x:v>仅汇总</x:v>
      </x:c>
    </x:row>
    <x:row r="89" ht="30" customHeight="1">
      <x:c r="A89" s="2" t="str">
        <x:v>Q22</x:v>
      </x:c>
      <x:c r="B89" s="2" t="str">
        <x:v>五级量表</x:v>
      </x:c>
      <x:c r="C89" s="13" t="str">
        <x:v>D4 会数据:具备数字化工具与数据分析能力</x:v>
      </x:c>
      <x:c r="D89" s="2" t="str">
        <x:v>数值版 Sheet1!CL2:CL163</x:v>
      </x:c>
      <x:c r="E89" s="13" t="str">
        <x:v>仅汇总</x:v>
      </x:c>
    </x:row>
    <x:row r="90" ht="30" customHeight="1">
      <x:c r="A90" s="2" t="str">
        <x:v>Q22</x:v>
      </x:c>
      <x:c r="B90" s="2" t="str">
        <x:v>五级量表</x:v>
      </x:c>
      <x:c r="C90" s="13" t="str">
        <x:v>D5 防风险:具备内控、审计与合规监督能力</x:v>
      </x:c>
      <x:c r="D90" s="2" t="str">
        <x:v>数值版 Sheet1!CM2:CM163</x:v>
      </x:c>
      <x:c r="E90" s="13" t="str">
        <x:v>仅汇总</x:v>
      </x:c>
    </x:row>
    <x:row r="91" ht="30" customHeight="1">
      <x:c r="A91" s="2" t="str">
        <x:v>Q23</x:v>
      </x:c>
      <x:c r="B91" s="2" t="str">
        <x:v>前三排序</x:v>
      </x:c>
      <x:c r="C91" s="13" t="str">
        <x:v>23(A.成本与预算管理人才)</x:v>
      </x:c>
      <x:c r="D91" s="2" t="str">
        <x:v>数值版 Sheet1!CN2:CN163</x:v>
      </x:c>
      <x:c r="E91" s="13" t="str">
        <x:v>仅汇总</x:v>
      </x:c>
    </x:row>
    <x:row r="92" ht="30" customHeight="1">
      <x:c r="A92" s="2" t="str">
        <x:v>Q23</x:v>
      </x:c>
      <x:c r="B92" s="2" t="str">
        <x:v>前三排序</x:v>
      </x:c>
      <x:c r="C92" s="13" t="str">
        <x:v>23(B.运营管理人才)</x:v>
      </x:c>
      <x:c r="D92" s="2" t="str">
        <x:v>数值版 Sheet1!CO2:CO163</x:v>
      </x:c>
      <x:c r="E92" s="13" t="str">
        <x:v>仅汇总</x:v>
      </x:c>
    </x:row>
    <x:row r="93" ht="30" customHeight="1">
      <x:c r="A93" s="2" t="str">
        <x:v>Q23</x:v>
      </x:c>
      <x:c r="B93" s="2" t="str">
        <x:v>前三排序</x:v>
      </x:c>
      <x:c r="C93" s="13" t="str">
        <x:v>23(C.医保管理人才)</x:v>
      </x:c>
      <x:c r="D93" s="2" t="str">
        <x:v>数值版 Sheet1!CP2:CP163</x:v>
      </x:c>
      <x:c r="E93" s="13" t="str">
        <x:v>仅汇总</x:v>
      </x:c>
    </x:row>
    <x:row r="94" ht="30" customHeight="1">
      <x:c r="A94" s="2" t="str">
        <x:v>Q23</x:v>
      </x:c>
      <x:c r="B94" s="2" t="str">
        <x:v>前三排序</x:v>
      </x:c>
      <x:c r="C94" s="13" t="str">
        <x:v>23(D.内审与监督人才)</x:v>
      </x:c>
      <x:c r="D94" s="2" t="str">
        <x:v>数值版 Sheet1!CQ2:CQ163</x:v>
      </x:c>
      <x:c r="E94" s="13" t="str">
        <x:v>仅汇总</x:v>
      </x:c>
    </x:row>
    <x:row r="95" ht="30" customHeight="1">
      <x:c r="A95" s="2" t="str">
        <x:v>Q23</x:v>
      </x:c>
      <x:c r="B95" s="2" t="str">
        <x:v>前三排序</x:v>
      </x:c>
      <x:c r="C95" s="13" t="str">
        <x:v>23(E.数据分析人才)</x:v>
      </x:c>
      <x:c r="D95" s="2" t="str">
        <x:v>数值版 Sheet1!CR2:CR163</x:v>
      </x:c>
      <x:c r="E95" s="13" t="str">
        <x:v>仅汇总</x:v>
      </x:c>
    </x:row>
    <x:row r="96" ht="30" customHeight="1">
      <x:c r="A96" s="2" t="str">
        <x:v>Q23</x:v>
      </x:c>
      <x:c r="B96" s="2" t="str">
        <x:v>前三排序</x:v>
      </x:c>
      <x:c r="C96" s="13" t="str">
        <x:v>23(F.综合管理人才)</x:v>
      </x:c>
      <x:c r="D96" s="2" t="str">
        <x:v>数值版 Sheet1!CS2:CS163</x:v>
      </x:c>
      <x:c r="E96" s="13" t="str">
        <x:v>仅汇总</x:v>
      </x:c>
    </x:row>
    <x:row r="97" ht="36" customHeight="1">
      <x:c r="A97" s="2" t="str">
        <x:v>Q24</x:v>
      </x:c>
      <x:c r="B97" s="2" t="str">
        <x:v>五级量表</x:v>
      </x:c>
      <x:c r="C97" s="13" t="str">
        <x:v>24.对分层分类培养模式各层级培养重点的认同程度（1=很不认同，5=很认同），请在相应栏内打“✓” —E1 新入职人员:夯实财务、医疗、管理、信息交叉基础，强化跟岗实训与基本制度规范</x:v>
      </x:c>
      <x:c r="D97" s="2" t="str">
        <x:v>数值版 Sheet1!CT2:CT163</x:v>
      </x:c>
      <x:c r="E97" s="13" t="str">
        <x:v>仅汇总</x:v>
      </x:c>
    </x:row>
    <x:row r="98" ht="30" customHeight="1">
      <x:c r="A98" s="2" t="str">
        <x:v>Q24</x:v>
      </x:c>
      <x:c r="B98" s="2" t="str">
        <x:v>五级量表</x:v>
      </x:c>
      <x:c r="C98" s="13" t="str">
        <x:v>E2 业务骨干人员:围绕预算绩效、成本核算、数智运营、风控监督等专项能力系统深化</x:v>
      </x:c>
      <x:c r="D98" s="2" t="str">
        <x:v>数值版 Sheet1!CU2:CU163</x:v>
      </x:c>
      <x:c r="E98" s="13" t="str">
        <x:v>仅汇总</x:v>
      </x:c>
    </x:row>
    <x:row r="99" ht="30" customHeight="1">
      <x:c r="A99" s="2" t="str">
        <x:v>Q24</x:v>
      </x:c>
      <x:c r="B99" s="2" t="str">
        <x:v>五级量表</x:v>
      </x:c>
      <x:c r="C99" s="13" t="str">
        <x:v>E3 中层管理人员:提升运营管理、跨部门协同与团队带教能力</x:v>
      </x:c>
      <x:c r="D99" s="2" t="str">
        <x:v>数值版 Sheet1!CV2:CV163</x:v>
      </x:c>
      <x:c r="E99" s="13" t="str">
        <x:v>仅汇总</x:v>
      </x:c>
    </x:row>
    <x:row r="100" ht="30" customHeight="1">
      <x:c r="A100" s="2" t="str">
        <x:v>Q24</x:v>
      </x:c>
      <x:c r="B100" s="2" t="str">
        <x:v>五级量表</x:v>
      </x:c>
      <x:c r="C100" s="13" t="str">
        <x:v>E4 领军人才（总会计师及院领导）:提升战略思维、行业引领与穿透式监管能力</x:v>
      </x:c>
      <x:c r="D100" s="2" t="str">
        <x:v>数值版 Sheet1!CW2:CW163</x:v>
      </x:c>
      <x:c r="E100" s="13" t="str">
        <x:v>仅汇总</x:v>
      </x:c>
    </x:row>
    <x:row r="101" ht="30" customHeight="1">
      <x:c r="A101" s="2" t="str">
        <x:v>Q25</x:v>
      </x:c>
      <x:c r="B101" s="2" t="str">
        <x:v>前三排序</x:v>
      </x:c>
      <x:c r="C101" s="13" t="str">
        <x:v>25(A.双导师制（业务导师+财务导师）)</x:v>
      </x:c>
      <x:c r="D101" s="2" t="str">
        <x:v>数值版 Sheet1!CX2:CX163</x:v>
      </x:c>
      <x:c r="E101" s="13" t="str">
        <x:v>仅汇总</x:v>
      </x:c>
    </x:row>
    <x:row r="102" ht="30" customHeight="1">
      <x:c r="A102" s="2" t="str">
        <x:v>Q25</x:v>
      </x:c>
      <x:c r="B102" s="2" t="str">
        <x:v>前三排序</x:v>
      </x:c>
      <x:c r="C102" s="13" t="str">
        <x:v>25(B.跟岗实训/实训医院)</x:v>
      </x:c>
      <x:c r="D102" s="2" t="str">
        <x:v>数值版 Sheet1!CY2:CY163</x:v>
      </x:c>
      <x:c r="E102" s="13" t="str">
        <x:v>仅汇总</x:v>
      </x:c>
    </x:row>
    <x:row r="103" ht="30" customHeight="1">
      <x:c r="A103" s="2" t="str">
        <x:v>Q25</x:v>
      </x:c>
      <x:c r="B103" s="2" t="str">
        <x:v>前三排序</x:v>
      </x:c>
      <x:c r="C103" s="13" t="str">
        <x:v>25(C.真实案例教学与案例库)</x:v>
      </x:c>
      <x:c r="D103" s="2" t="str">
        <x:v>数值版 Sheet1!CZ2:CZ163</x:v>
      </x:c>
      <x:c r="E103" s="13" t="str">
        <x:v>仅汇总</x:v>
      </x:c>
    </x:row>
    <x:row r="104" ht="30" customHeight="1">
      <x:c r="A104" s="2" t="str">
        <x:v>Q25</x:v>
      </x:c>
      <x:c r="B104" s="2" t="str">
        <x:v>前三排序</x:v>
      </x:c>
      <x:c r="C104" s="13" t="str">
        <x:v>25(D.项目制学习（参与实际管理项目）)</x:v>
      </x:c>
      <x:c r="D104" s="2" t="str">
        <x:v>数值版 Sheet1!DA2:DA163</x:v>
      </x:c>
      <x:c r="E104" s="13" t="str">
        <x:v>仅汇总</x:v>
      </x:c>
    </x:row>
    <x:row r="105" ht="30" customHeight="1">
      <x:c r="A105" s="2" t="str">
        <x:v>Q25</x:v>
      </x:c>
      <x:c r="B105" s="2" t="str">
        <x:v>前三排序</x:v>
      </x:c>
      <x:c r="C105" s="13" t="str">
        <x:v>25(E.学历学位教育)</x:v>
      </x:c>
      <x:c r="D105" s="2" t="str">
        <x:v>数值版 Sheet1!DB2:DB163</x:v>
      </x:c>
      <x:c r="E105" s="13" t="str">
        <x:v>仅汇总</x:v>
      </x:c>
    </x:row>
    <x:row r="106" ht="30" customHeight="1">
      <x:c r="A106" s="2" t="str">
        <x:v>Q25</x:v>
      </x:c>
      <x:c r="B106" s="2" t="str">
        <x:v>前三排序</x:v>
      </x:c>
      <x:c r="C106" s="13" t="str">
        <x:v>25(F.短期专题研修)</x:v>
      </x:c>
      <x:c r="D106" s="2" t="str">
        <x:v>数值版 Sheet1!DC2:DC163</x:v>
      </x:c>
      <x:c r="E106" s="13" t="str">
        <x:v>仅汇总</x:v>
      </x:c>
    </x:row>
    <x:row r="107" ht="30" customHeight="1">
      <x:c r="A107" s="2" t="str">
        <x:v>Q25</x:v>
      </x:c>
      <x:c r="B107" s="2" t="str">
        <x:v>前三排序</x:v>
      </x:c>
      <x:c r="C107" s="13" t="str">
        <x:v>25(G.线上自主学习平台)</x:v>
      </x:c>
      <x:c r="D107" s="2" t="str">
        <x:v>数值版 Sheet1!DD2:DD163</x:v>
      </x:c>
      <x:c r="E107" s="13" t="str">
        <x:v>仅汇总</x:v>
      </x:c>
    </x:row>
    <x:row r="108" ht="30" customHeight="1">
      <x:c r="A108" s="2" t="str">
        <x:v>Q25</x:v>
      </x:c>
      <x:c r="B108" s="2" t="str">
        <x:v>前三排序</x:v>
      </x:c>
      <x:c r="C108" s="13" t="str">
        <x:v>25(H.跨部门交流挂职)</x:v>
      </x:c>
      <x:c r="D108" s="2" t="str">
        <x:v>数值版 Sheet1!DE2:DE163</x:v>
      </x:c>
      <x:c r="E108" s="13" t="str">
        <x:v>仅汇总</x:v>
      </x:c>
    </x:row>
    <x:row r="109" ht="30" customHeight="1">
      <x:c r="A109" s="2" t="str">
        <x:v>Q26</x:v>
      </x:c>
      <x:c r="B109" s="2" t="str">
        <x:v>五级量表</x:v>
      </x:c>
      <x:c r="C109" s="13" t="str">
        <x:v>26.下列课程模块对人才培养的必要程度（1=很没必要，5=很有必要），请在相应栏内打“✓” —F1 战略管理与领导力</x:v>
      </x:c>
      <x:c r="D109" s="2" t="str">
        <x:v>数值版 Sheet1!DF2:DF163</x:v>
      </x:c>
      <x:c r="E109" s="13" t="str">
        <x:v>仅汇总</x:v>
      </x:c>
    </x:row>
    <x:row r="110" ht="30" customHeight="1">
      <x:c r="A110" s="2" t="str">
        <x:v>Q26</x:v>
      </x:c>
      <x:c r="B110" s="2" t="str">
        <x:v>五级量表</x:v>
      </x:c>
      <x:c r="C110" s="13" t="str">
        <x:v>F2 卫生政策与财经法规</x:v>
      </x:c>
      <x:c r="D110" s="2" t="str">
        <x:v>数值版 Sheet1!DG2:DG163</x:v>
      </x:c>
      <x:c r="E110" s="13" t="str">
        <x:v>仅汇总</x:v>
      </x:c>
    </x:row>
    <x:row r="111" ht="30" customHeight="1">
      <x:c r="A111" s="2" t="str">
        <x:v>Q26</x:v>
      </x:c>
      <x:c r="B111" s="2" t="str">
        <x:v>五级量表</x:v>
      </x:c>
      <x:c r="C111" s="13" t="str">
        <x:v>F3 医疗业务流程与临床认知</x:v>
      </x:c>
      <x:c r="D111" s="2" t="str">
        <x:v>数值版 Sheet1!DH2:DH163</x:v>
      </x:c>
      <x:c r="E111" s="13" t="str">
        <x:v>仅汇总</x:v>
      </x:c>
    </x:row>
    <x:row r="112" ht="30" customHeight="1">
      <x:c r="A112" s="2" t="str">
        <x:v>Q26</x:v>
      </x:c>
      <x:c r="B112" s="2" t="str">
        <x:v>五级量表</x:v>
      </x:c>
      <x:c r="C112" s="13" t="str">
        <x:v>F4 跨部门沟通与协同管理</x:v>
      </x:c>
      <x:c r="D112" s="2" t="str">
        <x:v>数值版 Sheet1!DI2:DI163</x:v>
      </x:c>
      <x:c r="E112" s="13" t="str">
        <x:v>仅汇总</x:v>
      </x:c>
    </x:row>
    <x:row r="113" ht="30" customHeight="1">
      <x:c r="A113" s="2" t="str">
        <x:v>Q26</x:v>
      </x:c>
      <x:c r="B113" s="2" t="str">
        <x:v>五级量表</x:v>
      </x:c>
      <x:c r="C113" s="13" t="str">
        <x:v>F5 DRG/DIP与医保精细化管理</x:v>
      </x:c>
      <x:c r="D113" s="2" t="str">
        <x:v>数值版 Sheet1!DJ2:DJ163</x:v>
      </x:c>
      <x:c r="E113" s="13" t="str">
        <x:v>仅汇总</x:v>
      </x:c>
    </x:row>
    <x:row r="114" ht="30" customHeight="1">
      <x:c r="A114" s="2" t="str">
        <x:v>Q26</x:v>
      </x:c>
      <x:c r="B114" s="2" t="str">
        <x:v>五级量表</x:v>
      </x:c>
      <x:c r="C114" s="13" t="str">
        <x:v>F6 预算管理与绩效评价</x:v>
      </x:c>
      <x:c r="D114" s="2" t="str">
        <x:v>数值版 Sheet1!DK2:DK163</x:v>
      </x:c>
      <x:c r="E114" s="13" t="str">
        <x:v>仅汇总</x:v>
      </x:c>
    </x:row>
    <x:row r="115" ht="30" customHeight="1">
      <x:c r="A115" s="2" t="str">
        <x:v>Q26</x:v>
      </x:c>
      <x:c r="B115" s="2" t="str">
        <x:v>五级量表</x:v>
      </x:c>
      <x:c r="C115" s="13" t="str">
        <x:v>F7 成本核算与运营分析</x:v>
      </x:c>
      <x:c r="D115" s="2" t="str">
        <x:v>数值版 Sheet1!DL2:DL163</x:v>
      </x:c>
      <x:c r="E115" s="13" t="str">
        <x:v>仅汇总</x:v>
      </x:c>
    </x:row>
    <x:row r="116" ht="30" customHeight="1">
      <x:c r="A116" s="2" t="str">
        <x:v>Q26</x:v>
      </x:c>
      <x:c r="B116" s="2" t="str">
        <x:v>五级量表</x:v>
      </x:c>
      <x:c r="C116" s="13" t="str">
        <x:v>F8 数智化运营与数据分析</x:v>
      </x:c>
      <x:c r="D116" s="2" t="str">
        <x:v>数值版 Sheet1!DM2:DM163</x:v>
      </x:c>
      <x:c r="E116" s="13" t="str">
        <x:v>仅汇总</x:v>
      </x:c>
    </x:row>
    <x:row r="117" ht="30" customHeight="1">
      <x:c r="A117" s="2" t="str">
        <x:v>Q26</x:v>
      </x:c>
      <x:c r="B117" s="2" t="str">
        <x:v>五级量表</x:v>
      </x:c>
      <x:c r="C117" s="13" t="str">
        <x:v>F9 内部控制、审计与风险防控</x:v>
      </x:c>
      <x:c r="D117" s="2" t="str">
        <x:v>数值版 Sheet1!DN2:DN163</x:v>
      </x:c>
      <x:c r="E117" s="13" t="str">
        <x:v>仅汇总</x:v>
      </x:c>
    </x:row>
    <x:row r="118" ht="30" customHeight="1">
      <x:c r="A118" s="2" t="str">
        <x:v>Q26</x:v>
      </x:c>
      <x:c r="B118" s="2" t="str">
        <x:v>五级量表</x:v>
      </x:c>
      <x:c r="C118" s="13" t="str">
        <x:v>F10 科教管理与成果转化</x:v>
      </x:c>
      <x:c r="D118" s="2" t="str">
        <x:v>数值版 Sheet1!DO2:DO163</x:v>
      </x:c>
      <x:c r="E118" s="13" t="str">
        <x:v>仅汇总</x:v>
      </x:c>
    </x:row>
    <x:row r="119" ht="30" customHeight="1">
      <x:c r="A119" s="2" t="str">
        <x:v>Q27</x:v>
      </x:c>
      <x:c r="B119" s="2" t="str">
        <x:v>五级量表</x:v>
      </x:c>
      <x:c r="C119" s="13" t="str">
        <x:v>27.下列培养方式对人才培养的支持作用（1=作用很小，5=作用很大），请在相应栏内打“✓” —G1 案例库与教学案例开发</x:v>
      </x:c>
      <x:c r="D119" s="2" t="str">
        <x:v>数值版 Sheet1!DP2:DP163</x:v>
      </x:c>
      <x:c r="E119" s="13" t="str">
        <x:v>仅汇总</x:v>
      </x:c>
    </x:row>
    <x:row r="120" ht="30" customHeight="1">
      <x:c r="A120" s="2" t="str">
        <x:v>Q27</x:v>
      </x:c>
      <x:c r="B120" s="2" t="str">
        <x:v>五级量表</x:v>
      </x:c>
      <x:c r="C120" s="13" t="str">
        <x:v>G2 实训基地（实训医院）</x:v>
      </x:c>
      <x:c r="D120" s="2" t="str">
        <x:v>数值版 Sheet1!DQ2:DQ163</x:v>
      </x:c>
      <x:c r="E120" s="13" t="str">
        <x:v>仅汇总</x:v>
      </x:c>
    </x:row>
    <x:row r="121" ht="30" customHeight="1">
      <x:c r="A121" s="2" t="str">
        <x:v>Q27</x:v>
      </x:c>
      <x:c r="B121" s="2" t="str">
        <x:v>五级量表</x:v>
      </x:c>
      <x:c r="C121" s="13" t="str">
        <x:v>G3 线上学习平台与移动微课堂</x:v>
      </x:c>
      <x:c r="D121" s="2" t="str">
        <x:v>数值版 Sheet1!DR2:DR163</x:v>
      </x:c>
      <x:c r="E121" s="13" t="str">
        <x:v>仅汇总</x:v>
      </x:c>
    </x:row>
    <x:row r="122" ht="30" customHeight="1">
      <x:c r="A122" s="2" t="str">
        <x:v>Q27</x:v>
      </x:c>
      <x:c r="B122" s="2" t="str">
        <x:v>五级量表</x:v>
      </x:c>
      <x:c r="C122" s="13" t="str">
        <x:v>G4 真实管理项目池（项目制学习）</x:v>
      </x:c>
      <x:c r="D122" s="2" t="str">
        <x:v>数值版 Sheet1!DS2:DS163</x:v>
      </x:c>
      <x:c r="E122" s="13" t="str">
        <x:v>仅汇总</x:v>
      </x:c>
    </x:row>
    <x:row r="123" ht="30" customHeight="1">
      <x:c r="A123" s="2" t="str">
        <x:v>Q27</x:v>
      </x:c>
      <x:c r="B123" s="2" t="str">
        <x:v>五级量表</x:v>
      </x:c>
      <x:c r="C123" s="13" t="str">
        <x:v>G5 虚拟运营沙盘演练</x:v>
      </x:c>
      <x:c r="D123" s="2" t="str">
        <x:v>数值版 Sheet1!DT2:DT163</x:v>
      </x:c>
      <x:c r="E123" s="13" t="str">
        <x:v>仅汇总</x:v>
      </x:c>
    </x:row>
    <x:row r="124" ht="30" customHeight="1">
      <x:c r="A124" s="2" t="str">
        <x:v>Q28</x:v>
      </x:c>
      <x:c r="B124" s="2" t="str">
        <x:v>多选</x:v>
      </x:c>
      <x:c r="C124" s="13" t="str">
        <x:v>28.贵院与院校、专业机构的合作形式（可多选） (A.共建课程体系)</x:v>
      </x:c>
      <x:c r="D124" s="2" t="str">
        <x:v>数值版 Sheet1!DU2:DU163</x:v>
      </x:c>
      <x:c r="E124" s="13" t="str">
        <x:v>仅汇总</x:v>
      </x:c>
    </x:row>
    <x:row r="125" ht="30" customHeight="1">
      <x:c r="A125" s="2" t="str">
        <x:v>Q28</x:v>
      </x:c>
      <x:c r="B125" s="2" t="str">
        <x:v>多选</x:v>
      </x:c>
      <x:c r="C125" s="13" t="str">
        <x:v>28(B.共建案例库)</x:v>
      </x:c>
      <x:c r="D125" s="2" t="str">
        <x:v>数值版 Sheet1!DV2:DV163</x:v>
      </x:c>
      <x:c r="E125" s="13" t="str">
        <x:v>仅汇总</x:v>
      </x:c>
    </x:row>
    <x:row r="126" ht="30" customHeight="1">
      <x:c r="A126" s="2" t="str">
        <x:v>Q28</x:v>
      </x:c>
      <x:c r="B126" s="2" t="str">
        <x:v>多选</x:v>
      </x:c>
      <x:c r="C126" s="13" t="str">
        <x:v>28(C.共建实践基地)</x:v>
      </x:c>
      <x:c r="D126" s="2" t="str">
        <x:v>数值版 Sheet1!DW2:DW163</x:v>
      </x:c>
      <x:c r="E126" s="13" t="str">
        <x:v>仅汇总</x:v>
      </x:c>
    </x:row>
    <x:row r="127" ht="30" customHeight="1">
      <x:c r="A127" s="2" t="str">
        <x:v>Q28</x:v>
      </x:c>
      <x:c r="B127" s="2" t="str">
        <x:v>多选</x:v>
      </x:c>
      <x:c r="C127" s="13" t="str">
        <x:v>28(D.联合开展岗位能力评价)</x:v>
      </x:c>
      <x:c r="D127" s="2" t="str">
        <x:v>数值版 Sheet1!DX2:DX163</x:v>
      </x:c>
      <x:c r="E127" s="13" t="str">
        <x:v>仅汇总</x:v>
      </x:c>
    </x:row>
    <x:row r="128" ht="30" customHeight="1">
      <x:c r="A128" s="2" t="str">
        <x:v>Q28</x:v>
      </x:c>
      <x:c r="B128" s="2" t="str">
        <x:v>多选</x:v>
      </x:c>
      <x:c r="C128" s="13" t="str">
        <x:v>28(E.互派师资/导师)</x:v>
      </x:c>
      <x:c r="D128" s="2" t="str">
        <x:v>数值版 Sheet1!DY2:DY163</x:v>
      </x:c>
      <x:c r="E128" s="13" t="str">
        <x:v>仅汇总</x:v>
      </x:c>
    </x:row>
    <x:row r="129" ht="30" customHeight="1">
      <x:c r="A129" s="2" t="str">
        <x:v>Q28</x:v>
      </x:c>
      <x:c r="B129" s="2" t="str">
        <x:v>多选</x:v>
      </x:c>
      <x:c r="C129" s="13" t="str">
        <x:v>28(F.委托开展专项培训)</x:v>
      </x:c>
      <x:c r="D129" s="2" t="str">
        <x:v>数值版 Sheet1!DZ2:DZ163</x:v>
      </x:c>
      <x:c r="E129" s="13" t="str">
        <x:v>仅汇总</x:v>
      </x:c>
    </x:row>
    <x:row r="130" ht="30" customHeight="1">
      <x:c r="A130" s="2" t="str">
        <x:v>Q28</x:v>
      </x:c>
      <x:c r="B130" s="2" t="str">
        <x:v>多选</x:v>
      </x:c>
      <x:c r="C130" s="13" t="str">
        <x:v>28(G.尚无合作)</x:v>
      </x:c>
      <x:c r="D130" s="2" t="str">
        <x:v>数值版 Sheet1!EA2:EA163</x:v>
      </x:c>
      <x:c r="E130" s="13" t="str">
        <x:v>仅汇总</x:v>
      </x:c>
    </x:row>
    <x:row r="131" ht="30" customHeight="1">
      <x:c r="A131" s="2" t="str">
        <x:v>Q29</x:v>
      </x:c>
      <x:c r="B131" s="2" t="str">
        <x:v>单选</x:v>
      </x:c>
      <x:c r="C131" s="13" t="str">
        <x:v>29.贵院与院校、专业机构的 “业务导师+财务导师”双导师制（单选）</x:v>
      </x:c>
      <x:c r="D131" s="2" t="str">
        <x:v>数值版 Sheet1!EB2:EB163</x:v>
      </x:c>
      <x:c r="E131" s="13" t="str">
        <x:v>仅汇总</x:v>
      </x:c>
    </x:row>
    <x:row r="132" ht="30" customHeight="1">
      <x:c r="A132" s="2" t="str">
        <x:v>Q30</x:v>
      </x:c>
      <x:c r="B132" s="2" t="str">
        <x:v>多选</x:v>
      </x:c>
      <x:c r="C132" s="13" t="str">
        <x:v>30.贵院对培养效果的评估与结果运用方式（可多选）(A.阶段性测试或结业考核)</x:v>
      </x:c>
      <x:c r="D132" s="2" t="str">
        <x:v>数值版 Sheet1!EC2:EC163</x:v>
      </x:c>
      <x:c r="E132" s="13" t="str">
        <x:v>仅汇总</x:v>
      </x:c>
    </x:row>
    <x:row r="133" ht="30" customHeight="1">
      <x:c r="A133" s="2" t="str">
        <x:v>Q30</x:v>
      </x:c>
      <x:c r="B133" s="2" t="str">
        <x:v>多选</x:v>
      </x:c>
      <x:c r="C133" s="13" t="str">
        <x:v>30(B.培训前后绩效指标对照)</x:v>
      </x:c>
      <x:c r="D133" s="2" t="str">
        <x:v>数值版 Sheet1!ED2:ED163</x:v>
      </x:c>
      <x:c r="E133" s="13" t="str">
        <x:v>仅汇总</x:v>
      </x:c>
    </x:row>
    <x:row r="134" ht="30" customHeight="1">
      <x:c r="A134" s="2" t="str">
        <x:v>Q30</x:v>
      </x:c>
      <x:c r="B134" s="2" t="str">
        <x:v>多选</x:v>
      </x:c>
      <x:c r="C134" s="13" t="str">
        <x:v>30(C.成果汇报与案例产出)</x:v>
      </x:c>
      <x:c r="D134" s="2" t="str">
        <x:v>数值版 Sheet1!EE2:EE163</x:v>
      </x:c>
      <x:c r="E134" s="13" t="str">
        <x:v>仅汇总</x:v>
      </x:c>
    </x:row>
    <x:row r="135" ht="30" customHeight="1">
      <x:c r="A135" s="2" t="str">
        <x:v>Q30</x:v>
      </x:c>
      <x:c r="B135" s="2" t="str">
        <x:v>多选</x:v>
      </x:c>
      <x:c r="C135" s="13" t="str">
        <x:v>30(D.培训结果与考核、聘任挂钩)</x:v>
      </x:c>
      <x:c r="D135" s="2" t="str">
        <x:v>数值版 Sheet1!EF2:EF163</x:v>
      </x:c>
      <x:c r="E135" s="13" t="str">
        <x:v>仅汇总</x:v>
      </x:c>
    </x:row>
    <x:row r="136" ht="30" customHeight="1">
      <x:c r="A136" s="2" t="str">
        <x:v>Q30</x:v>
      </x:c>
      <x:c r="B136" s="2" t="str">
        <x:v>多选</x:v>
      </x:c>
      <x:c r="C136" s="13" t="str">
        <x:v>30(E.尚无系统评估)</x:v>
      </x:c>
      <x:c r="D136" s="2" t="str">
        <x:v>数值版 Sheet1!EG2:EG163</x:v>
      </x:c>
      <x:c r="E136" s="13" t="str">
        <x:v>仅汇总</x:v>
      </x:c>
    </x:row>
    <x:row r="137" ht="30" customHeight="1">
      <x:c r="A137" s="2" t="str">
        <x:v>Q31</x:v>
      </x:c>
      <x:c r="B137" s="2" t="str">
        <x:v>单选</x:v>
      </x:c>
      <x:c r="C137" s="13" t="str">
        <x:v>31.您认为经济管理骨干成长为复合型人才所需的合理培养周期（单选）</x:v>
      </x:c>
      <x:c r="D137" s="2" t="str">
        <x:v>数值版 Sheet1!EH2:EH163</x:v>
      </x:c>
      <x:c r="E137" s="13" t="str">
        <x:v>仅汇总</x:v>
      </x:c>
    </x:row>
    <x:row r="138" ht="36" customHeight="1">
      <x:c r="A138" s="2" t="str">
        <x:v>Q32</x:v>
      </x:c>
      <x:c r="B138" s="2" t="str">
        <x:v>五级量表</x:v>
      </x:c>
      <x:c r="C138" s="13" t="str">
        <x:v>32.下列院内长效保障机制对人才培养落地的重要程度（1=很不重要，5=很重要），请在相应栏内打“✓”—H1 组织领导与归口管理</x:v>
      </x:c>
      <x:c r="D138" s="2" t="str">
        <x:v>数值版 Sheet1!EI2:EI163</x:v>
      </x:c>
      <x:c r="E138" s="13" t="str">
        <x:v>仅汇总</x:v>
      </x:c>
    </x:row>
    <x:row r="139" ht="30" customHeight="1">
      <x:c r="A139" s="2" t="str">
        <x:v>Q32</x:v>
      </x:c>
      <x:c r="B139" s="2" t="str">
        <x:v>五级量表</x:v>
      </x:c>
      <x:c r="C139" s="13" t="str">
        <x:v>H2 岗位设置与总会计师制度落实</x:v>
      </x:c>
      <x:c r="D139" s="2" t="str">
        <x:v>数值版 Sheet1!EJ2:EJ163</x:v>
      </x:c>
      <x:c r="E139" s="13" t="str">
        <x:v>仅汇总</x:v>
      </x:c>
    </x:row>
    <x:row r="140" ht="30" customHeight="1">
      <x:c r="A140" s="2" t="str">
        <x:v>Q32</x:v>
      </x:c>
      <x:c r="B140" s="2" t="str">
        <x:v>五级量表</x:v>
      </x:c>
      <x:c r="C140" s="13" t="str">
        <x:v>H3 师资队伍建设（双师型、行业导师库）</x:v>
      </x:c>
      <x:c r="D140" s="2" t="str">
        <x:v>数值版 Sheet1!EK2:EK163</x:v>
      </x:c>
      <x:c r="E140" s="13" t="str">
        <x:v>仅汇总</x:v>
      </x:c>
    </x:row>
    <x:row r="141" ht="30" customHeight="1">
      <x:c r="A141" s="2" t="str">
        <x:v>Q32</x:v>
      </x:c>
      <x:c r="B141" s="2" t="str">
        <x:v>五级量表</x:v>
      </x:c>
      <x:c r="C141" s="13" t="str">
        <x:v>H4 经费投入保障</x:v>
      </x:c>
      <x:c r="D141" s="2" t="str">
        <x:v>数值版 Sheet1!EL2:EL163</x:v>
      </x:c>
      <x:c r="E141" s="13" t="str">
        <x:v>仅汇总</x:v>
      </x:c>
    </x:row>
    <x:row r="142" ht="30" customHeight="1">
      <x:c r="A142" s="2" t="str">
        <x:v>Q32</x:v>
      </x:c>
      <x:c r="B142" s="2" t="str">
        <x:v>五级量表</x:v>
      </x:c>
      <x:c r="C142" s="13" t="str">
        <x:v>H5 考核激励与培训结果运用</x:v>
      </x:c>
      <x:c r="D142" s="2" t="str">
        <x:v>数值版 Sheet1!EM2:EM163</x:v>
      </x:c>
      <x:c r="E142" s="13" t="str">
        <x:v>仅汇总</x:v>
      </x:c>
    </x:row>
    <x:row r="143" ht="30" customHeight="1">
      <x:c r="A143" s="2" t="str">
        <x:v>Q32</x:v>
      </x:c>
      <x:c r="B143" s="2" t="str">
        <x:v>五级量表</x:v>
      </x:c>
      <x:c r="C143" s="13" t="str">
        <x:v>H6 职业发展通道与职称晋升衔接</x:v>
      </x:c>
      <x:c r="D143" s="2" t="str">
        <x:v>数值版 Sheet1!EN2:EN163</x:v>
      </x:c>
      <x:c r="E143" s="13" t="str">
        <x:v>仅汇总</x:v>
      </x:c>
    </x:row>
    <x:row r="144" ht="30" customHeight="1">
      <x:c r="A144" s="2" t="str">
        <x:v>Q32</x:v>
      </x:c>
      <x:c r="B144" s="2" t="str">
        <x:v>五级量表</x:v>
      </x:c>
      <x:c r="C144" s="13" t="str">
        <x:v>H7 学习时间保障与安排</x:v>
      </x:c>
      <x:c r="D144" s="2" t="str">
        <x:v>数值版 Sheet1!EO2:EO163</x:v>
      </x:c>
      <x:c r="E144" s="13" t="str">
        <x:v>仅汇总</x:v>
      </x:c>
    </x:row>
    <x:row r="145" ht="30" customHeight="1">
      <x:c r="A145" s="2" t="str">
        <x:v>Q32</x:v>
      </x:c>
      <x:c r="B145" s="2" t="str">
        <x:v>五级量表</x:v>
      </x:c>
      <x:c r="C145" s="13" t="str">
        <x:v>H8 信息化学习平台与培训档案管理</x:v>
      </x:c>
      <x:c r="D145" s="2" t="str">
        <x:v>数值版 Sheet1!EP2:EP163</x:v>
      </x:c>
      <x:c r="E145" s="13" t="str">
        <x:v>仅汇总</x:v>
      </x:c>
    </x:row>
    <x:row r="146" ht="30" customHeight="1">
      <x:c r="A146" s="2" t="str">
        <x:v>Q33</x:v>
      </x:c>
      <x:c r="B146" s="2" t="str">
        <x:v>五级量表</x:v>
      </x:c>
      <x:c r="C146" s="13" t="str">
        <x:v>33.对下列人才培养体系机制建设的认同程度（1=很不支持，5=很支持），请在相应栏内打“✓” —I1 建立分层分类培训体系</x:v>
      </x:c>
      <x:c r="D146" s="2" t="str">
        <x:v>数值版 Sheet1!EQ2:EQ163</x:v>
      </x:c>
      <x:c r="E146" s="13" t="str">
        <x:v>仅汇总</x:v>
      </x:c>
    </x:row>
    <x:row r="147" ht="30" customHeight="1">
      <x:c r="A147" s="2" t="str">
        <x:v>Q33</x:v>
      </x:c>
      <x:c r="B147" s="2" t="str">
        <x:v>五级量表</x:v>
      </x:c>
      <x:c r="C147" s="13" t="str">
        <x:v>I2 建立岗位胜任力评价体系</x:v>
      </x:c>
      <x:c r="D147" s="2" t="str">
        <x:v>数值版 Sheet1!ER2:ER163</x:v>
      </x:c>
      <x:c r="E147" s="13" t="str">
        <x:v>仅汇总</x:v>
      </x:c>
    </x:row>
    <x:row r="148" ht="30" customHeight="1">
      <x:c r="A148" s="2" t="str">
        <x:v>Q33</x:v>
      </x:c>
      <x:c r="B148" s="2" t="str">
        <x:v>五级量表</x:v>
      </x:c>
      <x:c r="C148" s="13" t="str">
        <x:v>I3 建立行业经济管理人才库</x:v>
      </x:c>
      <x:c r="D148" s="2" t="str">
        <x:v>数值版 Sheet1!ES2:ES163</x:v>
      </x:c>
      <x:c r="E148" s="13" t="str">
        <x:v>仅汇总</x:v>
      </x:c>
    </x:row>
    <x:row r="149" ht="30" customHeight="1">
      <x:c r="A149" s="2" t="str">
        <x:v>Q33</x:v>
      </x:c>
      <x:c r="B149" s="2" t="str">
        <x:v>五级量表</x:v>
      </x:c>
      <x:c r="C149" s="13" t="str">
        <x:v>I4 建立行业师资库与课程认证制度</x:v>
      </x:c>
      <x:c r="D149" s="2" t="str">
        <x:v>数值版 Sheet1!ET2:ET163</x:v>
      </x:c>
      <x:c r="E149" s="13" t="str">
        <x:v>仅汇总</x:v>
      </x:c>
    </x:row>
    <x:row r="150" ht="30" customHeight="1">
      <x:c r="A150" s="2" t="str">
        <x:v>Q33</x:v>
      </x:c>
      <x:c r="B150" s="2" t="str">
        <x:v>五级量表</x:v>
      </x:c>
      <x:c r="C150" s="13" t="str">
        <x:v>I5 继续教育学分与职称评审衔接制度</x:v>
      </x:c>
      <x:c r="D150" s="2" t="str">
        <x:v>数值版 Sheet1!EU2:EU163</x:v>
      </x:c>
      <x:c r="E150" s="13" t="str">
        <x:v>仅汇总</x:v>
      </x:c>
    </x:row>
    <x:row r="151" ht="36" customHeight="1">
      <x:c r="A151" s="2" t="str">
        <x:v>Q34</x:v>
      </x:c>
      <x:c r="B151" s="2" t="str">
        <x:v>五级量表</x:v>
      </x:c>
      <x:c r="C151" s="13" t="str">
        <x:v>34.培养结果与考核激励挂钩方式的选择（单选;下列挂钩方式的必要程度1=很没必要，5=很有必要），请在相应栏内打"✓" —J1 评优评先</x:v>
      </x:c>
      <x:c r="D151" s="2" t="str">
        <x:v>数值版 Sheet1!EV2:EV163</x:v>
      </x:c>
      <x:c r="E151" s="13" t="str">
        <x:v>仅汇总</x:v>
      </x:c>
    </x:row>
    <x:row r="152" ht="30" customHeight="1">
      <x:c r="A152" s="2" t="str">
        <x:v>Q34</x:v>
      </x:c>
      <x:c r="B152" s="2" t="str">
        <x:v>五级量表</x:v>
      </x:c>
      <x:c r="C152" s="13" t="str">
        <x:v>J2 岗位聘任</x:v>
      </x:c>
      <x:c r="D152" s="2" t="str">
        <x:v>数值版 Sheet1!EW2:EW163</x:v>
      </x:c>
      <x:c r="E152" s="13" t="str">
        <x:v>仅汇总</x:v>
      </x:c>
    </x:row>
    <x:row r="153" ht="30" customHeight="1">
      <x:c r="A153" s="2" t="str">
        <x:v>Q34</x:v>
      </x:c>
      <x:c r="B153" s="2" t="str">
        <x:v>五级量表</x:v>
      </x:c>
      <x:c r="C153" s="13" t="str">
        <x:v>J3   薪酬激励</x:v>
      </x:c>
      <x:c r="D153" s="2" t="str">
        <x:v>数值版 Sheet1!EX2:EX163</x:v>
      </x:c>
      <x:c r="E153" s="13" t="str">
        <x:v>仅汇总</x:v>
      </x:c>
    </x:row>
    <x:row r="154" ht="30" customHeight="1">
      <x:c r="A154" s="2" t="str">
        <x:v>Q34</x:v>
      </x:c>
      <x:c r="B154" s="2" t="str">
        <x:v>五级量表</x:v>
      </x:c>
      <x:c r="C154" s="13" t="str">
        <x:v>J4   职称推荐</x:v>
      </x:c>
      <x:c r="D154" s="2" t="str">
        <x:v>数值版 Sheet1!EY2:EY163</x:v>
      </x:c>
      <x:c r="E154" s="13" t="str">
        <x:v>仅汇总</x:v>
      </x:c>
    </x:row>
    <x:row r="155" ht="30" customHeight="1">
      <x:c r="A155" s="2" t="str">
        <x:v>Q34</x:v>
      </x:c>
      <x:c r="B155" s="2" t="str">
        <x:v>五级量表</x:v>
      </x:c>
      <x:c r="C155" s="13" t="str">
        <x:v>J5 人才计划推荐</x:v>
      </x:c>
      <x:c r="D155" s="2" t="str">
        <x:v>数值版 Sheet1!EZ2:EZ163</x:v>
      </x:c>
      <x:c r="E155" s="13" t="str">
        <x:v>仅汇总</x:v>
      </x:c>
    </x:row>
    <x:row r="156" ht="36" customHeight="1">
      <x:c r="A156" s="2" t="str">
        <x:v>Q35</x:v>
      </x:c>
      <x:c r="B156" s="2" t="str">
        <x:v>五级量表</x:v>
      </x:c>
      <x:c r="C156" s="13" t="str">
        <x:v>35.贵院经济管理人员职业发展通道各环节的畅通程度（1=严重梗阻，5=非常畅通），请在相应栏内打"✓" —K1 职称评审与聘任通道</x:v>
      </x:c>
      <x:c r="D156" s="2" t="str">
        <x:v>数值版 Sheet1!FA2:FA163</x:v>
      </x:c>
      <x:c r="E156" s="13" t="str">
        <x:v>仅汇总</x:v>
      </x:c>
    </x:row>
    <x:row r="157" ht="30" customHeight="1">
      <x:c r="A157" s="2" t="str">
        <x:v>Q35</x:v>
      </x:c>
      <x:c r="B157" s="2" t="str">
        <x:v>五级量表</x:v>
      </x:c>
      <x:c r="C157" s="13" t="str">
        <x:v>K2 岗位层级与职务晋升通道</x:v>
      </x:c>
      <x:c r="D157" s="2" t="str">
        <x:v>数值版 Sheet1!FB2:FB163</x:v>
      </x:c>
      <x:c r="E157" s="13" t="str">
        <x:v>仅汇总</x:v>
      </x:c>
    </x:row>
    <x:row r="158" ht="30" customHeight="1">
      <x:c r="A158" s="2" t="str">
        <x:v>Q35</x:v>
      </x:c>
      <x:c r="B158" s="2" t="str">
        <x:v>五级量表</x:v>
      </x:c>
      <x:c r="C158" s="13" t="str">
        <x:v>K3 跨部门轮岗与交流通道</x:v>
      </x:c>
      <x:c r="D158" s="2" t="str">
        <x:v>数值版 Sheet1!FC2:FC163</x:v>
      </x:c>
      <x:c r="E158" s="13" t="str">
        <x:v>仅汇总</x:v>
      </x:c>
    </x:row>
    <x:row r="159" ht="30" customHeight="1">
      <x:c r="A159" s="2" t="str">
        <x:v>Q35</x:v>
      </x:c>
      <x:c r="B159" s="2" t="str">
        <x:v>五级量表</x:v>
      </x:c>
      <x:c r="C159" s="13" t="str">
        <x:v>K4 专业能力进阶与培训通道</x:v>
      </x:c>
      <x:c r="D159" s="2" t="str">
        <x:v>数值版 Sheet1!FD2:FD163</x:v>
      </x:c>
      <x:c r="E159" s="13" t="str">
        <x:v>仅汇总</x:v>
      </x:c>
    </x:row>
    <x:row r="160" ht="30" customHeight="1">
      <x:c r="A160" s="2" t="str">
        <x:v>Q35</x:v>
      </x:c>
      <x:c r="B160" s="2" t="str">
        <x:v>五级量表</x:v>
      </x:c>
      <x:c r="C160" s="13" t="str">
        <x:v>K5 领军人才与后备人才成长通道</x:v>
      </x:c>
      <x:c r="D160" s="2" t="str">
        <x:v>数值版 Sheet1!FE2:FE163</x:v>
      </x:c>
      <x:c r="E160" s="13" t="str">
        <x:v>仅汇总</x:v>
      </x:c>
    </x:row>
    <x:row r="161" ht="30" customHeight="1">
      <x:c r="A161" s="2" t="str">
        <x:v>Q35</x:v>
      </x:c>
      <x:c r="B161" s="2" t="str">
        <x:v>五级量表</x:v>
      </x:c>
      <x:c r="C161" s="13" t="str">
        <x:v>K6 薪酬待遇与个人价值体现</x:v>
      </x:c>
      <x:c r="D161" s="2" t="str">
        <x:v>数值版 Sheet1!FF2:FF163</x:v>
      </x:c>
      <x:c r="E161" s="13" t="str">
        <x:v>仅汇总</x:v>
      </x:c>
    </x:row>
    <x:row r="162" ht="30" customHeight="1">
      <x:c r="A162" s="2" t="str">
        <x:v>Q36</x:v>
      </x:c>
      <x:c r="B162" s="2" t="str">
        <x:v>单选</x:v>
      </x:c>
      <x:c r="C162" s="13" t="str">
        <x:v>36.贵院经济管理人员年人均培训经费（单选）</x:v>
      </x:c>
      <x:c r="D162" s="2" t="str">
        <x:v>数值版 Sheet1!FG2:FG163</x:v>
      </x:c>
      <x:c r="E162" s="13" t="str">
        <x:v>仅汇总</x:v>
      </x:c>
    </x:row>
    <x:row r="163" ht="30" customHeight="1">
      <x:c r="A163" s="2" t="str">
        <x:v>Q37</x:v>
      </x:c>
      <x:c r="B163" s="2" t="str">
        <x:v>多选</x:v>
      </x:c>
      <x:c r="C163" s="13" t="str">
        <x:v>37.贵院经济管理人员培养经费来源（可多选）(A.单位预算安排)</x:v>
      </x:c>
      <x:c r="D163" s="2" t="str">
        <x:v>数值版 Sheet1!FH2:FH163</x:v>
      </x:c>
      <x:c r="E163" s="13" t="str">
        <x:v>仅汇总</x:v>
      </x:c>
    </x:row>
    <x:row r="164" ht="30" customHeight="1">
      <x:c r="A164" s="2" t="str">
        <x:v>Q37</x:v>
      </x:c>
      <x:c r="B164" s="2" t="str">
        <x:v>多选</x:v>
      </x:c>
      <x:c r="C164" s="13" t="str">
        <x:v>37(B.主管部门专项经费)</x:v>
      </x:c>
      <x:c r="D164" s="2" t="str">
        <x:v>数值版 Sheet1!FI2:FI163</x:v>
      </x:c>
      <x:c r="E164" s="13" t="str">
        <x:v>仅汇总</x:v>
      </x:c>
    </x:row>
    <x:row r="165" ht="30" customHeight="1">
      <x:c r="A165" s="2" t="str">
        <x:v>Q37</x:v>
      </x:c>
      <x:c r="B165" s="2" t="str">
        <x:v>多选</x:v>
      </x:c>
      <x:c r="C165" s="13" t="str">
        <x:v>37(C.学会/协会项目支持)</x:v>
      </x:c>
      <x:c r="D165" s="2" t="str">
        <x:v>数值版 Sheet1!FJ2:FJ163</x:v>
      </x:c>
      <x:c r="E165" s="13" t="str">
        <x:v>仅汇总</x:v>
      </x:c>
    </x:row>
    <x:row r="166" ht="30" customHeight="1">
      <x:c r="A166" s="2" t="str">
        <x:v>Q37</x:v>
      </x:c>
      <x:c r="B166" s="2" t="str">
        <x:v>多选</x:v>
      </x:c>
      <x:c r="C166" s="13" t="str">
        <x:v>37(D.个人承担)</x:v>
      </x:c>
      <x:c r="D166" s="2" t="str">
        <x:v>数值版 Sheet1!FK2:FK163</x:v>
      </x:c>
      <x:c r="E166" s="13" t="str">
        <x:v>仅汇总</x:v>
      </x:c>
    </x:row>
    <x:row r="167" ht="30" customHeight="1">
      <x:c r="A167" s="2" t="str">
        <x:v>Q37</x:v>
      </x:c>
      <x:c r="B167" s="2" t="str">
        <x:v>多选</x:v>
      </x:c>
      <x:c r="C167" s="13" t="str">
        <x:v>37(E.其他)</x:v>
      </x:c>
      <x:c r="D167" s="2" t="str">
        <x:v>数值版 Sheet1!FL2:FL163</x:v>
      </x:c>
      <x:c r="E167" s="13" t="str">
        <x:v>仅汇总</x:v>
      </x:c>
    </x:row>
    <x:row r="168" ht="30" customHeight="1">
      <x:c r="A168" s="2" t="str">
        <x:v>Q38</x:v>
      </x:c>
      <x:c r="B168" s="2" t="str">
        <x:v>前三排序</x:v>
      </x:c>
      <x:c r="C168" s="13" t="str">
        <x:v>38(A.纳入卫生健康人才发展规划)</x:v>
      </x:c>
      <x:c r="D168" s="2" t="str">
        <x:v>数值版 Sheet1!FM2:FM163</x:v>
      </x:c>
      <x:c r="E168" s="13" t="str">
        <x:v>仅汇总</x:v>
      </x:c>
    </x:row>
    <x:row r="169" ht="30" customHeight="1">
      <x:c r="A169" s="2" t="str">
        <x:v>Q38</x:v>
      </x:c>
      <x:c r="B169" s="2" t="str">
        <x:v>前三排序</x:v>
      </x:c>
      <x:c r="C169" s="13" t="str">
        <x:v>38(B.设立专项培养经费)</x:v>
      </x:c>
      <x:c r="D169" s="2" t="str">
        <x:v>数值版 Sheet1!FN2:FN163</x:v>
      </x:c>
      <x:c r="E169" s="13" t="str">
        <x:v>仅汇总</x:v>
      </x:c>
    </x:row>
    <x:row r="170" ht="30" customHeight="1">
      <x:c r="A170" s="2" t="str">
        <x:v>Q38</x:v>
      </x:c>
      <x:c r="B170" s="2" t="str">
        <x:v>前三排序</x:v>
      </x:c>
      <x:c r="C170" s="13" t="str">
        <x:v>38(C.学时学分认定与职称衔接)</x:v>
      </x:c>
      <x:c r="D170" s="2" t="str">
        <x:v>数值版 Sheet1!FO2:FO163</x:v>
      </x:c>
      <x:c r="E170" s="13" t="str">
        <x:v>仅汇总</x:v>
      </x:c>
    </x:row>
    <x:row r="171" ht="30" customHeight="1">
      <x:c r="A171" s="2" t="str">
        <x:v>Q38</x:v>
      </x:c>
      <x:c r="B171" s="2" t="str">
        <x:v>前三排序</x:v>
      </x:c>
      <x:c r="C171" s="13" t="str">
        <x:v>38(D.高端人才计划倾斜)</x:v>
      </x:c>
      <x:c r="D171" s="2" t="str">
        <x:v>数值版 Sheet1!FP2:FP163</x:v>
      </x:c>
      <x:c r="E171" s="13" t="str">
        <x:v>仅汇总</x:v>
      </x:c>
    </x:row>
    <x:row r="172" ht="30" customHeight="1">
      <x:c r="A172" s="2" t="str">
        <x:v>Q38</x:v>
      </x:c>
      <x:c r="B172" s="2" t="str">
        <x:v>前三排序</x:v>
      </x:c>
      <x:c r="C172" s="13" t="str">
        <x:v>38(E.实训基地与师资库建设)</x:v>
      </x:c>
      <x:c r="D172" s="2" t="str">
        <x:v>数值版 Sheet1!FQ2:FQ163</x:v>
      </x:c>
      <x:c r="E172" s="13" t="str">
        <x:v>仅汇总</x:v>
      </x:c>
    </x:row>
    <x:row r="173" ht="30" customHeight="1">
      <x:c r="A173" s="2" t="str">
        <x:v>Q38</x:v>
      </x:c>
      <x:c r="B173" s="2" t="str">
        <x:v>前三排序</x:v>
      </x:c>
      <x:c r="C173" s="13" t="str">
        <x:v>38(F.岗位设置与编制保障)</x:v>
      </x:c>
      <x:c r="D173" s="2" t="str">
        <x:v>数值版 Sheet1!FR2:FR163</x:v>
      </x:c>
      <x:c r="E173" s="13" t="str">
        <x:v>仅汇总</x:v>
      </x:c>
    </x:row>
    <x:row r="174" ht="30" customHeight="1">
      <x:c r="A174" s="2" t="str">
        <x:v>Q38</x:v>
      </x:c>
      <x:c r="B174" s="2" t="str">
        <x:v>前三排序</x:v>
      </x:c>
      <x:c r="C174" s="13" t="str">
        <x:v>38(G.薪酬激励政策)</x:v>
      </x:c>
      <x:c r="D174" s="2" t="str">
        <x:v>数值版 Sheet1!FS2:FS163</x:v>
      </x:c>
      <x:c r="E174" s="13" t="str">
        <x:v>仅汇总</x:v>
      </x:c>
    </x:row>
    <x:row r="175" ht="30" customHeight="1">
      <x:c r="A175" s="2" t="str">
        <x:v>Q39</x:v>
      </x:c>
      <x:c r="B175" s="2" t="str">
        <x:v>是非矩阵</x:v>
      </x:c>
      <x:c r="C175" s="13" t="str">
        <x:v>39.贵院人才培养组织管理情况（分别勾选）—成立人才培养领导小组</x:v>
      </x:c>
      <x:c r="D175" s="2" t="str">
        <x:v>数值版 Sheet1!FT2:FT163</x:v>
      </x:c>
      <x:c r="E175" s="13" t="str">
        <x:v>仅汇总</x:v>
      </x:c>
    </x:row>
    <x:row r="176" ht="30" customHeight="1">
      <x:c r="A176" s="2" t="str">
        <x:v>Q39</x:v>
      </x:c>
      <x:c r="B176" s="2" t="str">
        <x:v>是非矩阵</x:v>
      </x:c>
      <x:c r="C176" s="13" t="str">
        <x:v>明确人才培养归口管理部门</x:v>
      </x:c>
      <x:c r="D176" s="2" t="str">
        <x:v>数值版 Sheet1!FU2:FU163</x:v>
      </x:c>
      <x:c r="E176" s="13" t="str">
        <x:v>仅汇总</x:v>
      </x:c>
    </x:row>
    <x:row r="177" ht="30" customHeight="1">
      <x:c r="A177" s="2" t="str">
        <x:v>Q39</x:v>
      </x:c>
      <x:c r="B177" s="2" t="str">
        <x:v>是非矩阵</x:v>
      </x:c>
      <x:c r="C177" s="13" t="str">
        <x:v>制定中长期人才培养规划</x:v>
      </x:c>
      <x:c r="D177" s="2" t="str">
        <x:v>数值版 Sheet1!FV2:FV163</x:v>
      </x:c>
      <x:c r="E177" s="13" t="str">
        <x:v>仅汇总</x:v>
      </x:c>
    </x:row>
    <x:row r="178" ht="30" customHeight="1">
      <x:c r="A178" s="2" t="str">
        <x:v>Q39</x:v>
      </x:c>
      <x:c r="B178" s="2" t="str">
        <x:v>是非矩阵</x:v>
      </x:c>
      <x:c r="C178" s="13" t="str">
        <x:v>建立培养档案与学时台账</x:v>
      </x:c>
      <x:c r="D178" s="2" t="str">
        <x:v>数值版 Sheet1!FW2:FW163</x:v>
      </x:c>
      <x:c r="E178" s="13" t="str">
        <x:v>仅汇总</x:v>
      </x:c>
    </x:row>
    <x:row r="179" ht="36" customHeight="1">
      <x:c r="A179" s="2" t="str">
        <x:v>Q40</x:v>
      </x:c>
      <x:c r="B179" s="2" t="str">
        <x:v>五级量表</x:v>
      </x:c>
      <x:c r="C179" s="13" t="str">
        <x:v>40.对“在校培养—岗位适应—能力提升—领军人才”四阶段全链条培养路径各环节重点的认同程度（1=很不认同，5=很认同），请在相应栏内打“✓”—L1 在校培养阶段:夯实财务、医疗、管理、信息交叉基础知识</x:v>
      </x:c>
      <x:c r="D179" s="2" t="str">
        <x:v>数值版 Sheet1!FX2:FX163</x:v>
      </x:c>
      <x:c r="E179" s="13" t="str">
        <x:v>仅汇总</x:v>
      </x:c>
    </x:row>
    <x:row r="180" ht="30" customHeight="1">
      <x:c r="A180" s="2" t="str">
        <x:v>Q40</x:v>
      </x:c>
      <x:c r="B180" s="2" t="str">
        <x:v>五级量表</x:v>
      </x:c>
      <x:c r="C180" s="13" t="str">
        <x:v>L2 岗位适应阶段:通过跟岗实训、轮岗实现实务能力转化</x:v>
      </x:c>
      <x:c r="D180" s="2" t="str">
        <x:v>数值版 Sheet1!FY2:FY163</x:v>
      </x:c>
      <x:c r="E180" s="13" t="str">
        <x:v>仅汇总</x:v>
      </x:c>
    </x:row>
    <x:row r="181" ht="30" customHeight="1">
      <x:c r="A181" s="2" t="str">
        <x:v>Q40</x:v>
      </x:c>
      <x:c r="B181" s="2" t="str">
        <x:v>五级量表</x:v>
      </x:c>
      <x:c r="C181" s="13" t="str">
        <x:v>L3 能力提升阶段:围绕预算绩效、数智运营、合规风控等专项系统深化进修</x:v>
      </x:c>
      <x:c r="D181" s="2" t="str">
        <x:v>数值版 Sheet1!FZ2:FZ163</x:v>
      </x:c>
      <x:c r="E181" s="13" t="str">
        <x:v>仅汇总</x:v>
      </x:c>
    </x:row>
    <x:row r="182" ht="30" customHeight="1">
      <x:c r="A182" s="2" t="str">
        <x:v>Q40</x:v>
      </x:c>
      <x:c r="B182" s="2" t="str">
        <x:v>五级量表</x:v>
      </x:c>
      <x:c r="C182" s="13" t="str">
        <x:v>L4 领军人才阶段:提升战略思维与行业引领、穿透式监管能力</x:v>
      </x:c>
      <x:c r="D182" s="2" t="str">
        <x:v>数值版 Sheet1!GA2:GA163</x:v>
      </x:c>
      <x:c r="E182" s="13" t="str">
        <x:v>仅汇总</x:v>
      </x:c>
    </x:row>
    <x:row r="183" ht="30" customHeight="1">
      <x:c r="A183" s="2" t="str">
        <x:v>Q41</x:v>
      </x:c>
      <x:c r="B183" s="2" t="str">
        <x:v>单选</x:v>
      </x:c>
      <x:c r="C183" s="13" t="str">
        <x:v>41.贵院经济管理人员跨部门轮岗开展情况（单选）</x:v>
      </x:c>
      <x:c r="D183" s="2" t="str">
        <x:v>数值版 Sheet1!GB2:GB163</x:v>
      </x:c>
      <x:c r="E183" s="13" t="str">
        <x:v>仅汇总</x:v>
      </x:c>
    </x:row>
    <x:row r="184" ht="30" customHeight="1">
      <x:c r="A184" s="2" t="str">
        <x:v>Q42</x:v>
      </x:c>
      <x:c r="B184" s="2" t="str">
        <x:v>单选</x:v>
      </x:c>
      <x:c r="C184" s="13" t="str">
        <x:v>42.贵院经济管理人员跨部门轮岗频次（单选）</x:v>
      </x:c>
      <x:c r="D184" s="2" t="str">
        <x:v>数值版 Sheet1!GC2:GC163</x:v>
      </x:c>
      <x:c r="E184" s="13" t="str">
        <x:v>仅汇总</x:v>
      </x:c>
    </x:row>
    <x:row r="185" ht="36" customHeight="1">
      <x:c r="A185" s="2" t="str">
        <x:v>Q43</x:v>
      </x:c>
      <x:c r="B185" s="2" t="str">
        <x:v>五级量表</x:v>
      </x:c>
      <x:c r="C185" s="13" t="str">
        <x:v>43.下列实战项目历练对能力提升的重要程度（1=很不重要，5=很重要），请在相应栏内打“✓” —M1 参与年度预算编制与执行分析</x:v>
      </x:c>
      <x:c r="D185" s="2" t="str">
        <x:v>数值版 Sheet1!GD2:GD163</x:v>
      </x:c>
      <x:c r="E185" s="13" t="str">
        <x:v>仅汇总</x:v>
      </x:c>
    </x:row>
    <x:row r="186" ht="30" customHeight="1">
      <x:c r="A186" s="2" t="str">
        <x:v>Q43</x:v>
      </x:c>
      <x:c r="B186" s="2" t="str">
        <x:v>五级量表</x:v>
      </x:c>
      <x:c r="C186" s="13" t="str">
        <x:v>M2 参与成本核算与病种盈亏分析项目</x:v>
      </x:c>
      <x:c r="D186" s="2" t="str">
        <x:v>数值版 Sheet1!GE2:GE163</x:v>
      </x:c>
      <x:c r="E186" s="13" t="str">
        <x:v>仅汇总</x:v>
      </x:c>
    </x:row>
    <x:row r="187" ht="30" customHeight="1">
      <x:c r="A187" s="2" t="str">
        <x:v>Q43</x:v>
      </x:c>
      <x:c r="B187" s="2" t="str">
        <x:v>五级量表</x:v>
      </x:c>
      <x:c r="C187" s="13" t="str">
        <x:v>M3 参与内部控制建设与内部控制评价</x:v>
      </x:c>
      <x:c r="D187" s="2" t="str">
        <x:v>数值版 Sheet1!GF2:GF163</x:v>
      </x:c>
      <x:c r="E187" s="13" t="str">
        <x:v>仅汇总</x:v>
      </x:c>
    </x:row>
    <x:row r="188" ht="30" customHeight="1">
      <x:c r="A188" s="2" t="str">
        <x:v>Q43</x:v>
      </x:c>
      <x:c r="B188" s="2" t="str">
        <x:v>五级量表</x:v>
      </x:c>
      <x:c r="C188" s="13" t="str">
        <x:v>M4 参与运营分析、报告撰写与决策支持</x:v>
      </x:c>
      <x:c r="D188" s="2" t="str">
        <x:v>数值版 Sheet1!GG2:GG163</x:v>
      </x:c>
      <x:c r="E188" s="13" t="str">
        <x:v>仅汇总</x:v>
      </x:c>
    </x:row>
    <x:row r="189" ht="30" customHeight="1">
      <x:c r="A189" s="2" t="str">
        <x:v>Q43</x:v>
      </x:c>
      <x:c r="B189" s="2" t="str">
        <x:v>五级量表</x:v>
      </x:c>
      <x:c r="C189" s="13" t="str">
        <x:v>M5 参与审计监督与财会监督</x:v>
      </x:c>
      <x:c r="D189" s="2" t="str">
        <x:v>数值版 Sheet1!GH2:GH163</x:v>
      </x:c>
      <x:c r="E189" s="13" t="str">
        <x:v>仅汇总</x:v>
      </x:c>
    </x:row>
    <x:row r="190" ht="30" customHeight="1">
      <x:c r="A190" s="2" t="str">
        <x:v>Q43</x:v>
      </x:c>
      <x:c r="B190" s="2" t="str">
        <x:v>五级量表</x:v>
      </x:c>
      <x:c r="C190" s="13" t="str">
        <x:v>M6 参与绩效分配方案设计与更正</x:v>
      </x:c>
      <x:c r="D190" s="2" t="str">
        <x:v>数值版 Sheet1!GI2:GI163</x:v>
      </x:c>
      <x:c r="E190" s="13" t="str">
        <x:v>仅汇总</x:v>
      </x:c>
    </x:row>
    <x:row r="191" ht="30" customHeight="1">
      <x:c r="A191" s="2" t="str">
        <x:v>Q43</x:v>
      </x:c>
      <x:c r="B191" s="2" t="str">
        <x:v>五级量表</x:v>
      </x:c>
      <x:c r="C191" s="13" t="str">
        <x:v>M7 参与医保收费、物价检查</x:v>
      </x:c>
      <x:c r="D191" s="2" t="str">
        <x:v>数值版 Sheet1!GJ2:GJ163</x:v>
      </x:c>
      <x:c r="E191" s="13" t="str">
        <x:v>仅汇总</x:v>
      </x:c>
    </x:row>
    <x:row r="192" ht="30" customHeight="1">
      <x:c r="A192" s="2" t="str">
        <x:v>Q44</x:v>
      </x:c>
      <x:c r="B192" s="2" t="str">
        <x:v>多选</x:v>
      </x:c>
      <x:c r="C192" s="13" t="str">
        <x:v>44.您认为可行的实践基地建设路径（可多选）(A.院内设立实训岗位与教学点)</x:v>
      </x:c>
      <x:c r="D192" s="2" t="str">
        <x:v>数值版 Sheet1!GK2:GK163</x:v>
      </x:c>
      <x:c r="E192" s="13" t="str">
        <x:v>仅汇总</x:v>
      </x:c>
    </x:row>
    <x:row r="193" ht="30" customHeight="1">
      <x:c r="A193" s="2" t="str">
        <x:v>Q44</x:v>
      </x:c>
      <x:c r="B193" s="2" t="str">
        <x:v>多选</x:v>
      </x:c>
      <x:c r="C193" s="13" t="str">
        <x:v>44(B.依托区域龙头医院建立实训基地联盟)</x:v>
      </x:c>
      <x:c r="D193" s="2" t="str">
        <x:v>数值版 Sheet1!GL2:GL163</x:v>
      </x:c>
      <x:c r="E193" s="13" t="str">
        <x:v>仅汇总</x:v>
      </x:c>
    </x:row>
    <x:row r="194" ht="30" customHeight="1">
      <x:c r="A194" s="2" t="str">
        <x:v>Q44</x:v>
      </x:c>
      <x:c r="B194" s="2" t="str">
        <x:v>多选</x:v>
      </x:c>
      <x:c r="C194" s="13" t="str">
        <x:v>44(C.依托第三方共建实践基地)</x:v>
      </x:c>
      <x:c r="D194" s="2" t="str">
        <x:v>数值版 Sheet1!GM2:GM163</x:v>
      </x:c>
      <x:c r="E194" s="13" t="str">
        <x:v>仅汇总</x:v>
      </x:c>
    </x:row>
    <x:row r="195" ht="30" customHeight="1">
      <x:c r="A195" s="2" t="str">
        <x:v>Q44</x:v>
      </x:c>
      <x:c r="B195" s="2" t="str">
        <x:v>多选</x:v>
      </x:c>
      <x:c r="C195" s="13" t="str">
        <x:v>44(D.其他（请注明）)</x:v>
      </x:c>
      <x:c r="D195" s="2" t="str">
        <x:v>数值版 Sheet1!GN2:GN163</x:v>
      </x:c>
      <x:c r="E195" s="13" t="str">
        <x:v>仅汇总</x:v>
      </x:c>
    </x:row>
    <x:row r="196" ht="30" customHeight="1">
      <x:c r="A196" s="2" t="str">
        <x:v>Q45</x:v>
      </x:c>
      <x:c r="B196" s="2" t="str">
        <x:v>多选</x:v>
      </x:c>
      <x:c r="C196" s="13" t="str">
        <x:v>45.贵院培养成果转化途径（可多选）(A.改进工作:将培养成果转化为实际管理改进举措)</x:v>
      </x:c>
      <x:c r="D196" s="2" t="str">
        <x:v>数值版 Sheet1!GO2:GO163</x:v>
      </x:c>
      <x:c r="E196" s="13" t="str">
        <x:v>仅汇总</x:v>
      </x:c>
    </x:row>
    <x:row r="197" ht="30" customHeight="1">
      <x:c r="A197" s="2" t="str">
        <x:v>Q45</x:v>
      </x:c>
      <x:c r="B197" s="2" t="str">
        <x:v>多选</x:v>
      </x:c>
      <x:c r="C197" s="13" t="str">
        <x:v>45(B.案例总结:提炼形成典型案例并交流推广)</x:v>
      </x:c>
      <x:c r="D197" s="2" t="str">
        <x:v>数值版 Sheet1!GP2:GP163</x:v>
      </x:c>
      <x:c r="E197" s="13" t="str">
        <x:v>仅汇总</x:v>
      </x:c>
    </x:row>
    <x:row r="198" ht="30" customHeight="1">
      <x:c r="A198" s="2" t="str">
        <x:v>Q45</x:v>
      </x:c>
      <x:c r="B198" s="2" t="str">
        <x:v>多选</x:v>
      </x:c>
      <x:c r="C198" s="13" t="str">
        <x:v>45(C.决策参考:形成分析建议，为领导决策提供参考)</x:v>
      </x:c>
      <x:c r="D198" s="2" t="str">
        <x:v>数值版 Sheet1!GQ2:GQ163</x:v>
      </x:c>
      <x:c r="E198" s="13" t="str">
        <x:v>仅汇总</x:v>
      </x:c>
    </x:row>
    <x:row r="199" ht="30" customHeight="1">
      <x:c r="A199" s="2" t="str">
        <x:v>Q45</x:v>
      </x:c>
      <x:c r="B199" s="2" t="str">
        <x:v>多选</x:v>
      </x:c>
      <x:c r="C199" s="13" t="str">
        <x:v>45(D.其他（请注明）)</x:v>
      </x:c>
      <x:c r="D199" s="2" t="str">
        <x:v>数值版 Sheet1!GR2:GR163</x:v>
      </x:c>
      <x:c r="E199" s="13" t="str">
        <x:v>仅汇总</x:v>
      </x:c>
    </x:row>
    <x:row r="200" ht="30" customHeight="1">
      <x:c r="A200" s="2" t="str">
        <x:v>Q46</x:v>
      </x:c>
      <x:c r="B200" s="2" t="str">
        <x:v>多选</x:v>
      </x:c>
      <x:c r="C200" s="13" t="str">
        <x:v>46.您认为培养成果难以转化落地的主要障碍是（可多选，最多3项）(A.培养内容与实际工作需求脱节)</x:v>
      </x:c>
      <x:c r="D200" s="2" t="str">
        <x:v>数值版 Sheet1!GS2:GS163</x:v>
      </x:c>
      <x:c r="E200" s="13" t="str">
        <x:v>仅汇总</x:v>
      </x:c>
    </x:row>
    <x:row r="201" ht="30" customHeight="1">
      <x:c r="A201" s="2" t="str">
        <x:v>Q46</x:v>
      </x:c>
      <x:c r="B201" s="2" t="str">
        <x:v>多选</x:v>
      </x:c>
      <x:c r="C201" s="13" t="str">
        <x:v>46(B.实践锻炼与项目历练机会不足)</x:v>
      </x:c>
      <x:c r="D201" s="2" t="str">
        <x:v>数值版 Sheet1!GT2:GT163</x:v>
      </x:c>
      <x:c r="E201" s="13" t="str">
        <x:v>仅汇总</x:v>
      </x:c>
    </x:row>
    <x:row r="202" ht="30" customHeight="1">
      <x:c r="A202" s="2" t="str">
        <x:v>Q46</x:v>
      </x:c>
      <x:c r="B202" s="2" t="str">
        <x:v>多选</x:v>
      </x:c>
      <x:c r="C202" s="13" t="str">
        <x:v>46(C.考核激励与结果运用机制不完善)</x:v>
      </x:c>
      <x:c r="D202" s="2" t="str">
        <x:v>数值版 Sheet1!GU2:GU163</x:v>
      </x:c>
      <x:c r="E202" s="13" t="str">
        <x:v>仅汇总</x:v>
      </x:c>
    </x:row>
    <x:row r="203" ht="30" customHeight="1">
      <x:c r="A203" s="2" t="str">
        <x:v>Q46</x:v>
      </x:c>
      <x:c r="B203" s="2" t="str">
        <x:v>多选</x:v>
      </x:c>
      <x:c r="C203" s="13" t="str">
        <x:v>46(D.职业发展通道与职称晋升衔接不畅)</x:v>
      </x:c>
      <x:c r="D203" s="2" t="str">
        <x:v>数值版 Sheet1!GV2:GV163</x:v>
      </x:c>
      <x:c r="E203" s="13" t="str">
        <x:v>仅汇总</x:v>
      </x:c>
    </x:row>
    <x:row r="204" ht="30" customHeight="1">
      <x:c r="A204" s="2" t="str">
        <x:v>Q46</x:v>
      </x:c>
      <x:c r="B204" s="2" t="str">
        <x:v>多选</x:v>
      </x:c>
      <x:c r="C204" s="13" t="str">
        <x:v>46(E.师资与经费投入不足)</x:v>
      </x:c>
      <x:c r="D204" s="2" t="str">
        <x:v>数值版 Sheet1!GW2:GW163</x:v>
      </x:c>
      <x:c r="E204" s="13" t="str">
        <x:v>仅汇总</x:v>
      </x:c>
    </x:row>
    <x:row r="205" ht="30" customHeight="1">
      <x:c r="A205" s="2" t="str">
        <x:v>Q46</x:v>
      </x:c>
      <x:c r="B205" s="2" t="str">
        <x:v>多选</x:v>
      </x:c>
      <x:c r="C205" s="13" t="str">
        <x:v>46(F.其他（请注明）)</x:v>
      </x:c>
      <x:c r="D205" s="2" t="str">
        <x:v>数值版 Sheet1!GX2:GX163</x:v>
      </x:c>
      <x:c r="E205" s="13" t="str">
        <x:v>仅汇总</x:v>
      </x:c>
    </x:row>
    <x:row r="206" ht="30" customHeight="1">
      <x:c r="A206" s="2" t="str">
        <x:v>Q47</x:v>
      </x:c>
      <x:c r="B206" s="2" t="str">
        <x:v>开放建议</x:v>
      </x:c>
      <x:c r="C206" s="13" t="str">
        <x:v>47.您对业财融合视角下卫生健康经济管理人才培养模式、机制建设与实践路径的意见建议:</x:v>
      </x:c>
      <x:c r="D206" s="2" t="str">
        <x:v>数值版 Sheet1!GY2:GY163</x:v>
      </x:c>
      <x:c r="E206" s="13" t="str">
        <x:v>仅公开主题汇总，不含原文</x:v>
      </x:c>
    </x:row>
  </x:sheetData>
  <x:pageMargins left="0.7" right="0.7" top="0.75" bottom="0.75" header="0.3" footer="0.3"/>
  <x:tableParts count="1">
    <x:tablePart xmlns:r="http://schemas.openxmlformats.org/officeDocument/2006/relationships" r:id="R55c758b68c42421b"/>
  </x:tableParts>
</x:worksheet>
</file>